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fzly\OneDrive\Desktop\File Professional\Project\Finance\file\"/>
    </mc:Choice>
  </mc:AlternateContent>
  <xr:revisionPtr revIDLastSave="0" documentId="13_ncr:1_{C6764132-E28E-47E9-91EF-9FF51396AB89}" xr6:coauthVersionLast="47" xr6:coauthVersionMax="47" xr10:uidLastSave="{00000000-0000-0000-0000-000000000000}"/>
  <bookViews>
    <workbookView xWindow="-110" yWindow="-110" windowWidth="19420" windowHeight="11500" tabRatio="769" xr2:uid="{00000000-000D-0000-FFFF-FFFF00000000}"/>
  </bookViews>
  <sheets>
    <sheet name="Dashboard" sheetId="2" r:id="rId1"/>
    <sheet name="Raw_Data" sheetId="3" r:id="rId2"/>
    <sheet name="Monthly_Summary" sheetId="4" r:id="rId3"/>
    <sheet name="Service_Summary" sheetId="5" r:id="rId4"/>
    <sheet name="Cost_Breakdown" sheetId="6" r:id="rId5"/>
    <sheet name="Budget_vs_Actual" sheetId="7" r:id="rId6"/>
    <sheet name="Forecast" sheetId="8" r:id="rId7"/>
    <sheet name="KPI_Metrics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9" l="1"/>
  <c r="B15" i="9"/>
  <c r="B14" i="9"/>
  <c r="B13" i="9"/>
  <c r="B12" i="9"/>
  <c r="C16" i="7"/>
  <c r="F16" i="7" s="1"/>
  <c r="B16" i="7"/>
  <c r="C15" i="7"/>
  <c r="F15" i="7" s="1"/>
  <c r="B15" i="7"/>
  <c r="C14" i="7"/>
  <c r="F14" i="7" s="1"/>
  <c r="B14" i="7"/>
  <c r="C13" i="7"/>
  <c r="F13" i="7" s="1"/>
  <c r="B13" i="7"/>
  <c r="C12" i="7"/>
  <c r="F12" i="7" s="1"/>
  <c r="B12" i="7"/>
  <c r="C11" i="7"/>
  <c r="F11" i="7" s="1"/>
  <c r="B11" i="7"/>
  <c r="C10" i="7"/>
  <c r="F10" i="7" s="1"/>
  <c r="B10" i="7"/>
  <c r="C9" i="7"/>
  <c r="F9" i="7" s="1"/>
  <c r="B9" i="7"/>
  <c r="C8" i="7"/>
  <c r="F8" i="7" s="1"/>
  <c r="B8" i="7"/>
  <c r="C7" i="7"/>
  <c r="F7" i="7" s="1"/>
  <c r="B7" i="7"/>
  <c r="C6" i="7"/>
  <c r="B6" i="7"/>
  <c r="C5" i="7"/>
  <c r="B5" i="7"/>
  <c r="B8" i="6"/>
  <c r="B7" i="6"/>
  <c r="B6" i="6"/>
  <c r="B5" i="6"/>
  <c r="D9" i="5"/>
  <c r="F9" i="5" s="1"/>
  <c r="C9" i="5"/>
  <c r="E9" i="5" s="1"/>
  <c r="B9" i="5"/>
  <c r="H8" i="5"/>
  <c r="H9" i="5" s="1"/>
  <c r="G8" i="5"/>
  <c r="G9" i="5" s="1"/>
  <c r="D8" i="5"/>
  <c r="F8" i="5" s="1"/>
  <c r="C8" i="5"/>
  <c r="E8" i="5" s="1"/>
  <c r="B8" i="5"/>
  <c r="H7" i="5"/>
  <c r="G7" i="5"/>
  <c r="D7" i="5"/>
  <c r="F7" i="5" s="1"/>
  <c r="C7" i="5"/>
  <c r="E7" i="5" s="1"/>
  <c r="B7" i="5"/>
  <c r="H6" i="5"/>
  <c r="G6" i="5"/>
  <c r="D6" i="5"/>
  <c r="F6" i="5" s="1"/>
  <c r="C6" i="5"/>
  <c r="E6" i="5" s="1"/>
  <c r="B6" i="5"/>
  <c r="H5" i="5"/>
  <c r="G5" i="5"/>
  <c r="D5" i="5"/>
  <c r="F5" i="5" s="1"/>
  <c r="C5" i="5"/>
  <c r="E5" i="5" s="1"/>
  <c r="B5" i="5"/>
  <c r="J16" i="4"/>
  <c r="H16" i="4"/>
  <c r="G16" i="4"/>
  <c r="M16" i="4" s="1"/>
  <c r="F16" i="4"/>
  <c r="E16" i="4"/>
  <c r="D16" i="4"/>
  <c r="C16" i="4"/>
  <c r="I16" i="4" s="1"/>
  <c r="O16" i="4" s="1"/>
  <c r="B16" i="4"/>
  <c r="J15" i="4"/>
  <c r="H15" i="4"/>
  <c r="G15" i="4"/>
  <c r="M15" i="4" s="1"/>
  <c r="F15" i="4"/>
  <c r="E15" i="4"/>
  <c r="I15" i="4" s="1"/>
  <c r="O15" i="4" s="1"/>
  <c r="D15" i="4"/>
  <c r="C15" i="4"/>
  <c r="B15" i="4"/>
  <c r="C15" i="8" s="1"/>
  <c r="G15" i="8" s="1"/>
  <c r="J14" i="4"/>
  <c r="H14" i="4"/>
  <c r="G14" i="4"/>
  <c r="M14" i="4" s="1"/>
  <c r="F14" i="4"/>
  <c r="E14" i="4"/>
  <c r="D14" i="4"/>
  <c r="C14" i="4"/>
  <c r="I14" i="4" s="1"/>
  <c r="O14" i="4" s="1"/>
  <c r="B14" i="4"/>
  <c r="J13" i="4"/>
  <c r="H13" i="4"/>
  <c r="G13" i="4"/>
  <c r="M13" i="4" s="1"/>
  <c r="F13" i="4"/>
  <c r="E13" i="4"/>
  <c r="D13" i="4"/>
  <c r="C13" i="4"/>
  <c r="I13" i="4" s="1"/>
  <c r="O13" i="4" s="1"/>
  <c r="B13" i="4"/>
  <c r="J12" i="4"/>
  <c r="H12" i="4"/>
  <c r="G12" i="4"/>
  <c r="M12" i="4" s="1"/>
  <c r="F12" i="4"/>
  <c r="E12" i="4"/>
  <c r="D12" i="4"/>
  <c r="C12" i="4"/>
  <c r="I12" i="4" s="1"/>
  <c r="O12" i="4" s="1"/>
  <c r="B12" i="4"/>
  <c r="J11" i="4"/>
  <c r="H11" i="4"/>
  <c r="G11" i="4"/>
  <c r="M11" i="4" s="1"/>
  <c r="F11" i="4"/>
  <c r="E11" i="4"/>
  <c r="D11" i="4"/>
  <c r="C11" i="4"/>
  <c r="I11" i="4" s="1"/>
  <c r="O11" i="4" s="1"/>
  <c r="B11" i="4"/>
  <c r="J10" i="4"/>
  <c r="H10" i="4"/>
  <c r="D10" i="8" s="1"/>
  <c r="G10" i="4"/>
  <c r="F10" i="4"/>
  <c r="E10" i="4"/>
  <c r="D10" i="4"/>
  <c r="C10" i="4"/>
  <c r="I10" i="4" s="1"/>
  <c r="O10" i="4" s="1"/>
  <c r="B10" i="4"/>
  <c r="J9" i="4"/>
  <c r="H9" i="4"/>
  <c r="G9" i="4"/>
  <c r="M9" i="4" s="1"/>
  <c r="F9" i="4"/>
  <c r="E9" i="4"/>
  <c r="D9" i="4"/>
  <c r="C9" i="4"/>
  <c r="I9" i="4" s="1"/>
  <c r="O9" i="4" s="1"/>
  <c r="B9" i="4"/>
  <c r="J8" i="4"/>
  <c r="I8" i="4"/>
  <c r="O8" i="4" s="1"/>
  <c r="H8" i="4"/>
  <c r="G8" i="4"/>
  <c r="M8" i="4" s="1"/>
  <c r="F8" i="4"/>
  <c r="E8" i="4"/>
  <c r="D8" i="4"/>
  <c r="C8" i="4"/>
  <c r="B8" i="4"/>
  <c r="C8" i="8" s="1"/>
  <c r="G8" i="8" s="1"/>
  <c r="J7" i="4"/>
  <c r="H7" i="4"/>
  <c r="G7" i="4"/>
  <c r="M7" i="4" s="1"/>
  <c r="F7" i="4"/>
  <c r="E7" i="4"/>
  <c r="D7" i="4"/>
  <c r="C7" i="4"/>
  <c r="I7" i="4" s="1"/>
  <c r="O7" i="4" s="1"/>
  <c r="B7" i="4"/>
  <c r="L6" i="4"/>
  <c r="J6" i="4"/>
  <c r="H6" i="4"/>
  <c r="G6" i="4"/>
  <c r="M6" i="4" s="1"/>
  <c r="F6" i="4"/>
  <c r="E6" i="4"/>
  <c r="D6" i="4"/>
  <c r="I6" i="4" s="1"/>
  <c r="O6" i="4" s="1"/>
  <c r="C6" i="4"/>
  <c r="B6" i="4"/>
  <c r="C6" i="8" s="1"/>
  <c r="G6" i="8" s="1"/>
  <c r="J5" i="4"/>
  <c r="J17" i="4" s="1"/>
  <c r="H5" i="4"/>
  <c r="G5" i="4"/>
  <c r="F5" i="4"/>
  <c r="F17" i="4" s="1"/>
  <c r="E5" i="4"/>
  <c r="E17" i="4" s="1"/>
  <c r="D5" i="4"/>
  <c r="D17" i="4" s="1"/>
  <c r="C5" i="4"/>
  <c r="B5" i="4"/>
  <c r="M12" i="2"/>
  <c r="I12" i="2"/>
  <c r="E12" i="2"/>
  <c r="D16" i="7" l="1"/>
  <c r="E16" i="7"/>
  <c r="D15" i="7"/>
  <c r="E15" i="7"/>
  <c r="D14" i="7"/>
  <c r="E14" i="7"/>
  <c r="D13" i="7"/>
  <c r="E13" i="7"/>
  <c r="E12" i="7"/>
  <c r="D12" i="7"/>
  <c r="D11" i="7"/>
  <c r="E11" i="7"/>
  <c r="D10" i="7"/>
  <c r="E10" i="7"/>
  <c r="E9" i="7"/>
  <c r="D9" i="7"/>
  <c r="D8" i="7"/>
  <c r="E8" i="7"/>
  <c r="D7" i="7"/>
  <c r="E7" i="7"/>
  <c r="F6" i="7"/>
  <c r="E6" i="7"/>
  <c r="D6" i="7"/>
  <c r="C17" i="7"/>
  <c r="F5" i="7"/>
  <c r="B17" i="7"/>
  <c r="E5" i="7"/>
  <c r="D5" i="7"/>
  <c r="D8" i="6"/>
  <c r="D7" i="6"/>
  <c r="D6" i="6"/>
  <c r="D5" i="6"/>
  <c r="B9" i="6"/>
  <c r="N16" i="4"/>
  <c r="D16" i="8"/>
  <c r="C16" i="8"/>
  <c r="L16" i="4"/>
  <c r="B11" i="9"/>
  <c r="D15" i="8"/>
  <c r="N15" i="4"/>
  <c r="D14" i="8"/>
  <c r="N14" i="4"/>
  <c r="C14" i="8"/>
  <c r="G14" i="8" s="1"/>
  <c r="L14" i="4"/>
  <c r="L15" i="4"/>
  <c r="D13" i="8"/>
  <c r="N13" i="4"/>
  <c r="L13" i="4"/>
  <c r="C13" i="8"/>
  <c r="G13" i="8" s="1"/>
  <c r="D12" i="8"/>
  <c r="N12" i="4"/>
  <c r="C12" i="8"/>
  <c r="G12" i="8" s="1"/>
  <c r="L12" i="4"/>
  <c r="N11" i="4"/>
  <c r="D11" i="8"/>
  <c r="L11" i="4"/>
  <c r="C11" i="8"/>
  <c r="G11" i="8" s="1"/>
  <c r="L10" i="4"/>
  <c r="N10" i="4"/>
  <c r="M10" i="4"/>
  <c r="C10" i="8"/>
  <c r="G10" i="8" s="1"/>
  <c r="N9" i="4"/>
  <c r="D9" i="8"/>
  <c r="L9" i="4"/>
  <c r="C9" i="8"/>
  <c r="G9" i="8" s="1"/>
  <c r="N8" i="4"/>
  <c r="D8" i="8"/>
  <c r="N7" i="4"/>
  <c r="D7" i="8"/>
  <c r="L7" i="4"/>
  <c r="C7" i="8"/>
  <c r="G7" i="8" s="1"/>
  <c r="L8" i="4"/>
  <c r="D6" i="8"/>
  <c r="N6" i="4"/>
  <c r="H17" i="4"/>
  <c r="D5" i="8"/>
  <c r="N5" i="4"/>
  <c r="G17" i="4"/>
  <c r="M5" i="4"/>
  <c r="C17" i="4"/>
  <c r="I5" i="4"/>
  <c r="C5" i="8"/>
  <c r="B17" i="4"/>
  <c r="G16" i="8" l="1"/>
  <c r="H16" i="8"/>
  <c r="B7" i="9"/>
  <c r="B9" i="9"/>
  <c r="E7" i="2"/>
  <c r="M7" i="2"/>
  <c r="D17" i="8"/>
  <c r="D18" i="8"/>
  <c r="D19" i="8"/>
  <c r="B6" i="9"/>
  <c r="B8" i="9"/>
  <c r="I7" i="2"/>
  <c r="O5" i="4"/>
  <c r="I17" i="4"/>
  <c r="G5" i="8"/>
  <c r="C17" i="8"/>
  <c r="H17" i="8" s="1"/>
  <c r="C18" i="8"/>
  <c r="H18" i="8" s="1"/>
  <c r="C19" i="8"/>
  <c r="H19" i="8" s="1"/>
  <c r="B5" i="9"/>
  <c r="A7" i="2"/>
  <c r="F17" i="7"/>
  <c r="D17" i="7"/>
  <c r="E17" i="7" s="1"/>
  <c r="D9" i="6"/>
  <c r="C8" i="6"/>
  <c r="C6" i="6"/>
  <c r="C7" i="6"/>
  <c r="C5" i="6"/>
  <c r="C9" i="6" s="1"/>
  <c r="B10" i="9" l="1"/>
  <c r="A12" i="2"/>
</calcChain>
</file>

<file path=xl/sharedStrings.xml><?xml version="1.0" encoding="utf-8"?>
<sst xmlns="http://schemas.openxmlformats.org/spreadsheetml/2006/main" count="743" uniqueCount="118">
  <si>
    <t xml:space="preserve">  NUSANTARA DIGITAL GROUP  —  Finance Performance Dashboard  (FY2025)</t>
  </si>
  <si>
    <t>TOTAL REVENUE</t>
  </si>
  <si>
    <t>NET PROFIT</t>
  </si>
  <si>
    <t>GROSS MARGIN</t>
  </si>
  <si>
    <t>NET MARGIN</t>
  </si>
  <si>
    <t>of revenue</t>
  </si>
  <si>
    <t>OPEX RATIO</t>
  </si>
  <si>
    <t>REV GROWTH</t>
  </si>
  <si>
    <t>AVG ROAS</t>
  </si>
  <si>
    <t>AVG CAC</t>
  </si>
  <si>
    <t>Jan→Dec</t>
  </si>
  <si>
    <t>blended</t>
  </si>
  <si>
    <t>Raw Transaction Data</t>
  </si>
  <si>
    <t>Source data — 12 months, 4 service lines, 16 clients (IDR millions). Simulated for portfolio.</t>
  </si>
  <si>
    <t>Month</t>
  </si>
  <si>
    <t>Service Category</t>
  </si>
  <si>
    <t>Client Name</t>
  </si>
  <si>
    <t>Revenue</t>
  </si>
  <si>
    <t>Operational Cost</t>
  </si>
  <si>
    <t>Marketing Spend</t>
  </si>
  <si>
    <t>Employee Cost</t>
  </si>
  <si>
    <t>Software Subscription Cost</t>
  </si>
  <si>
    <t>Gross Profit</t>
  </si>
  <si>
    <t>Net Profit</t>
  </si>
  <si>
    <t>CAC</t>
  </si>
  <si>
    <t>ROAS</t>
  </si>
  <si>
    <t>Budget</t>
  </si>
  <si>
    <t>Actual Spending</t>
  </si>
  <si>
    <t>Jan-2025</t>
  </si>
  <si>
    <t>Influencer Marketing</t>
  </si>
  <si>
    <t>Wardah Cosmetics</t>
  </si>
  <si>
    <t>Kopi Kenangan</t>
  </si>
  <si>
    <t>Erigo Apparel</t>
  </si>
  <si>
    <t>Somethinc</t>
  </si>
  <si>
    <t>Ads Management</t>
  </si>
  <si>
    <t>Tokopedia</t>
  </si>
  <si>
    <t>Traveloka</t>
  </si>
  <si>
    <t>Ruangguru</t>
  </si>
  <si>
    <t>BliBli</t>
  </si>
  <si>
    <t>E-commerce Enablement</t>
  </si>
  <si>
    <t>Eiger Adventure</t>
  </si>
  <si>
    <t>MS Glow</t>
  </si>
  <si>
    <t>Scarlett Whitening</t>
  </si>
  <si>
    <t>Sociolla</t>
  </si>
  <si>
    <t>SaaS Creator Platform</t>
  </si>
  <si>
    <t>IDN Media</t>
  </si>
  <si>
    <t>Narasi TV</t>
  </si>
  <si>
    <t>Vidio Creators</t>
  </si>
  <si>
    <t>TikTok Shop ID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</si>
  <si>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</si>
  <si>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</si>
  <si>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</si>
  <si>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</si>
  <si>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</si>
  <si>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</si>
  <si>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</si>
  <si>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</si>
  <si>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</si>
  <si>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</si>
  <si>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</si>
  <si>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Monthly Summary</t>
  </si>
  <si>
    <t>SUMIF-driven monthly aggregation feeding KPIs, trends and forecast (IDR millions).</t>
  </si>
  <si>
    <t>Software Cost</t>
  </si>
  <si>
    <t>Total OpEx</t>
  </si>
  <si>
    <t>Rev Growth %</t>
  </si>
  <si>
    <t>GP Margin %</t>
  </si>
  <si>
    <t>NP Margin %</t>
  </si>
  <si>
    <t>OpEx Ratio %</t>
  </si>
  <si>
    <t>—</t>
  </si>
  <si>
    <t>TOTAL</t>
  </si>
  <si>
    <t>Profitability by Service Line</t>
  </si>
  <si>
    <t>Annual aggregation by service category with margins, CAC and ROAS (IDR millions).</t>
  </si>
  <si>
    <t>Avg CAC</t>
  </si>
  <si>
    <t>Avg ROAS</t>
  </si>
  <si>
    <t>TOTAL / AVG</t>
  </si>
  <si>
    <t>Operational Cost Breakdown</t>
  </si>
  <si>
    <t>Cost Category</t>
  </si>
  <si>
    <t>Annual Amount</t>
  </si>
  <si>
    <t>% of Total Cost</t>
  </si>
  <si>
    <t>% of Revenue</t>
  </si>
  <si>
    <t>TOTAL COST</t>
  </si>
  <si>
    <t>Budget vs Actual Analysis</t>
  </si>
  <si>
    <t>Monthly planned vs actual spend with variance and utilization (IDR millions).</t>
  </si>
  <si>
    <t>Variance</t>
  </si>
  <si>
    <t>Variance %</t>
  </si>
  <si>
    <t>Status</t>
  </si>
  <si>
    <t>Revenue &amp; Profit Forecast</t>
  </si>
  <si>
    <t>3-month projection using TREND() linear regression on 12 historical months (IDR millions).</t>
  </si>
  <si>
    <t>Period</t>
  </si>
  <si>
    <t>Type</t>
  </si>
  <si>
    <t>Rev Actual</t>
  </si>
  <si>
    <t>Rev Forecast</t>
  </si>
  <si>
    <t>Actual</t>
  </si>
  <si>
    <t>Jan-2026</t>
  </si>
  <si>
    <t>Forecast</t>
  </si>
  <si>
    <t>Feb-2026</t>
  </si>
  <si>
    <t>Mar-2026</t>
  </si>
  <si>
    <t>Headline KPI Metrics</t>
  </si>
  <si>
    <t>Company-wide annual performance indicators.</t>
  </si>
  <si>
    <t>KPI</t>
  </si>
  <si>
    <t>Value</t>
  </si>
  <si>
    <t>Gross Profit Margin</t>
  </si>
  <si>
    <t>Net Profit Margin</t>
  </si>
  <si>
    <t>Operating Expense Ratio</t>
  </si>
  <si>
    <t>Revenue Growth (Jan→Dec)</t>
  </si>
  <si>
    <t>Average ROAS (x)</t>
  </si>
  <si>
    <t>Budget Utilization</t>
  </si>
  <si>
    <t>Annual cost composition by category - basis for cost-saving analysis (IDR millions).</t>
  </si>
  <si>
    <t>Total Revenue (IDR mil)</t>
  </si>
  <si>
    <t>Total Gross Profit (IDR mil)</t>
  </si>
  <si>
    <t>Total Net Profit (IDR mil)</t>
  </si>
  <si>
    <t>Average CAC (IDR mil)</t>
  </si>
  <si>
    <t>Total Budget (IDR mil)</t>
  </si>
  <si>
    <t>Total Actual Spend (IDR mil)</t>
  </si>
  <si>
    <t xml:space="preserve">  Data simulated for portfolio purposes •  Forecast via linear TREND() regression</t>
  </si>
  <si>
    <t>Software &amp; Digital Marketing  •  Influencer Marketing | Ads Management | E-commerce Enablement | SaaS Creator Platform  •  All figures in IDR millions</t>
  </si>
  <si>
    <t>IDR mn</t>
  </si>
  <si>
    <t>IDR mn/client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</si>
</sst>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\x"/>
    <numFmt numFmtId="166" formatCode="#,##0.0"/>
    <numFmt numFmtId="167" formatCode="#,##0;\(#,##0\)"/>
  </numFmts>
  <fonts count="1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6B7280"/>
      <name val="Arial"/>
      <charset val="1"/>
    </font>
    <font>
      <b/>
      <sz val="9"/>
      <color rgb="FF6B7280"/>
      <name val="Arial"/>
      <charset val="1"/>
    </font>
    <font>
      <b/>
      <sz val="20"/>
      <color rgb="FF1F2A44"/>
      <name val="Arial"/>
      <charset val="1"/>
    </font>
    <font>
      <i/>
      <sz val="8"/>
      <color rgb="FF6B7280"/>
      <name val="Arial"/>
      <charset val="1"/>
    </font>
    <font>
      <b/>
      <sz val="18"/>
      <color rgb="FF1F2A4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name val="Cambria"/>
      <charset val="1"/>
    </font>
    <font>
      <b/>
      <sz val="10"/>
      <color rgb="FF1F2A4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5BFF"/>
        <bgColor rgb="FF0066CC"/>
      </patternFill>
    </fill>
    <fill>
      <patternFill patternType="solid">
        <fgColor rgb="FF2BB673"/>
        <bgColor rgb="FF00A6A6"/>
      </patternFill>
    </fill>
    <fill>
      <patternFill patternType="solid">
        <fgColor rgb="FF00A6A6"/>
        <bgColor rgb="FF2BB673"/>
      </patternFill>
    </fill>
    <fill>
      <patternFill patternType="solid">
        <fgColor rgb="FF7B61FF"/>
        <bgColor rgb="FF8064A2"/>
      </patternFill>
    </fill>
    <fill>
      <patternFill patternType="solid">
        <fgColor rgb="FFF4F7FE"/>
        <bgColor rgb="FFF9F9F9"/>
      </patternFill>
    </fill>
    <fill>
      <patternFill patternType="solid">
        <fgColor rgb="FFF5A623"/>
        <bgColor rgb="FFFFCC00"/>
      </patternFill>
    </fill>
    <fill>
      <patternFill patternType="solid">
        <fgColor rgb="FFE2483D"/>
        <bgColor rgb="FFC0504D"/>
      </patternFill>
    </fill>
    <fill>
      <patternFill patternType="solid">
        <fgColor rgb="FFEEF2FB"/>
        <bgColor rgb="FFF4F7FE"/>
      </patternFill>
    </fill>
  </fills>
  <borders count="3">
    <border>
      <left/>
      <right/>
      <top/>
      <bottom/>
      <diagonal/>
    </border>
    <border>
      <left style="thin">
        <color rgb="FFE3E9F5"/>
      </left>
      <right style="thin">
        <color rgb="FFE3E9F5"/>
      </right>
      <top style="thin">
        <color rgb="FFE3E9F5"/>
      </top>
      <bottom style="thin">
        <color rgb="FFE3E9F5"/>
      </bottom>
      <diagonal/>
    </border>
    <border>
      <left style="thin">
        <color rgb="FFD7DEEA"/>
      </left>
      <right style="thin">
        <color rgb="FFD7DEEA"/>
      </right>
      <top style="thin">
        <color rgb="FFD7DEEA"/>
      </top>
      <bottom style="thin">
        <color rgb="FFD7DEE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166" fontId="8" fillId="0" borderId="2" xfId="0" applyNumberFormat="1" applyFont="1" applyBorder="1"/>
    <xf numFmtId="2" fontId="8" fillId="0" borderId="2" xfId="0" applyNumberFormat="1" applyFont="1" applyBorder="1"/>
    <xf numFmtId="0" fontId="7" fillId="5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3" fontId="10" fillId="0" borderId="2" xfId="0" applyNumberFormat="1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9" fillId="10" borderId="2" xfId="0" applyFont="1" applyFill="1" applyBorder="1"/>
    <xf numFmtId="3" fontId="9" fillId="10" borderId="2" xfId="0" applyNumberFormat="1" applyFont="1" applyFill="1" applyBorder="1"/>
    <xf numFmtId="2" fontId="10" fillId="0" borderId="2" xfId="0" applyNumberFormat="1" applyFont="1" applyBorder="1"/>
    <xf numFmtId="164" fontId="9" fillId="10" borderId="2" xfId="0" applyNumberFormat="1" applyFont="1" applyFill="1" applyBorder="1"/>
    <xf numFmtId="2" fontId="9" fillId="10" borderId="2" xfId="0" applyNumberFormat="1" applyFont="1" applyFill="1" applyBorder="1"/>
    <xf numFmtId="0" fontId="11" fillId="0" borderId="2" xfId="0" applyFont="1" applyBorder="1"/>
    <xf numFmtId="167" fontId="10" fillId="0" borderId="2" xfId="0" applyNumberFormat="1" applyFont="1" applyBorder="1"/>
    <xf numFmtId="167" fontId="9" fillId="10" borderId="2" xfId="0" applyNumberFormat="1" applyFont="1" applyFill="1" applyBorder="1"/>
    <xf numFmtId="0" fontId="7" fillId="8" borderId="2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0" fillId="7" borderId="2" xfId="0" applyFill="1" applyBorder="1"/>
    <xf numFmtId="0" fontId="9" fillId="7" borderId="2" xfId="0" applyFont="1" applyFill="1" applyBorder="1"/>
    <xf numFmtId="3" fontId="0" fillId="7" borderId="2" xfId="0" applyNumberFormat="1" applyFill="1" applyBorder="1"/>
    <xf numFmtId="3" fontId="12" fillId="0" borderId="2" xfId="0" applyNumberFormat="1" applyFont="1" applyBorder="1"/>
    <xf numFmtId="164" fontId="12" fillId="0" borderId="2" xfId="0" applyNumberFormat="1" applyFont="1" applyBorder="1"/>
    <xf numFmtId="2" fontId="12" fillId="0" borderId="2" xfId="0" applyNumberFormat="1" applyFont="1" applyBorder="1"/>
    <xf numFmtId="0" fontId="5" fillId="7" borderId="1" xfId="0" applyFont="1" applyFill="1" applyBorder="1" applyAlignment="1">
      <alignment horizontal="left" vertical="top" indent="1"/>
    </xf>
    <xf numFmtId="0" fontId="5" fillId="0" borderId="0" xfId="0" applyFont="1"/>
    <xf numFmtId="0" fontId="3" fillId="7" borderId="1" xfId="0" applyFont="1" applyFill="1" applyBorder="1" applyAlignment="1">
      <alignment horizontal="left" vertical="center" indent="1"/>
    </xf>
    <xf numFmtId="164" fontId="4" fillId="7" borderId="1" xfId="0" applyNumberFormat="1" applyFont="1" applyFill="1" applyBorder="1" applyAlignment="1">
      <alignment horizontal="left" vertical="center" indent="1"/>
    </xf>
    <xf numFmtId="165" fontId="4" fillId="7" borderId="1" xfId="0" applyNumberFormat="1" applyFont="1" applyFill="1" applyBorder="1" applyAlignment="1">
      <alignment horizontal="left" vertical="center" indent="1"/>
    </xf>
    <xf numFmtId="2" fontId="4" fillId="7" borderId="1" xfId="0" applyNumberFormat="1" applyFont="1" applyFill="1" applyBorder="1" applyAlignment="1">
      <alignment horizontal="left" vertical="center" indent="1"/>
    </xf>
    <xf numFmtId="3" fontId="4" fillId="7" borderId="1" xfId="0" applyNumberFormat="1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B3B3B3"/>
      <rgbColor rgb="FF878787"/>
      <rgbColor rgb="FF7B61FF"/>
      <rgbColor rgb="FFC0504D"/>
      <rgbColor rgb="FFF9F9F9"/>
      <rgbColor rgb="FFEEF2FB"/>
      <rgbColor rgb="FF660066"/>
      <rgbColor rgb="FFFF8080"/>
      <rgbColor rgb="FF0066CC"/>
      <rgbColor rgb="FFD7DEEA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3E9F5"/>
      <rgbColor rgb="FFF4F7FE"/>
      <rgbColor rgb="FFFFFF99"/>
      <rgbColor rgb="FF99CCFF"/>
      <rgbColor rgb="FFFF99CC"/>
      <rgbColor rgb="FFCC99FF"/>
      <rgbColor rgb="FFD9D9D9"/>
      <rgbColor rgb="FF2E5BFF"/>
      <rgbColor rgb="FF33CCCC"/>
      <rgbColor rgb="FF9BBB59"/>
      <rgbColor rgb="FFFFCC00"/>
      <rgbColor rgb="FFF5A623"/>
      <rgbColor rgb="FFE2483D"/>
      <rgbColor rgb="FF6B7280"/>
      <rgbColor rgb="FF8064A2"/>
      <rgbColor rgb="FF003366"/>
      <rgbColor rgb="FF2BB673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Monthly Revenue Trend (IDR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Monthly_Summary!$B$4</c:f>
              <c:strCache>
                <c:ptCount val="1"/>
                <c:pt idx="0">
                  <c:v>Revenue</c:v>
                </c:pt>
              </c:strCache>
            </c:strRef>
          </c:tx>
          <c:spPr>
            <a:ln w="28080">
              <a:solidFill>
                <a:srgbClr val="2E5BFF"/>
              </a:solidFill>
              <a:round/>
            </a:ln>
          </c:spPr>
          <c:marker>
            <c:symbol val="circle"/>
            <c:size val="6"/>
            <c:spPr>
              <a:solidFill>
                <a:srgbClr val="2E5B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Monthly_Summary!$B$5:$B$16</c:f>
              <c:numCache>
                <c:formatCode>#,##0</c:formatCode>
                <c:ptCount val="12"/>
                <c:pt idx="0">
                  <c:v>3945.6000000000004</c:v>
                </c:pt>
                <c:pt idx="1">
                  <c:v>4107.9999999999991</c:v>
                </c:pt>
                <c:pt idx="2">
                  <c:v>4803.9999999999991</c:v>
                </c:pt>
                <c:pt idx="3">
                  <c:v>5126.9000000000015</c:v>
                </c:pt>
                <c:pt idx="4">
                  <c:v>4425.8</c:v>
                </c:pt>
                <c:pt idx="5">
                  <c:v>4523.6000000000004</c:v>
                </c:pt>
                <c:pt idx="6">
                  <c:v>4681.3</c:v>
                </c:pt>
                <c:pt idx="7">
                  <c:v>4778.8</c:v>
                </c:pt>
                <c:pt idx="8">
                  <c:v>5039.4000000000005</c:v>
                </c:pt>
                <c:pt idx="9">
                  <c:v>5100.7</c:v>
                </c:pt>
                <c:pt idx="10">
                  <c:v>6091.7999999999993</c:v>
                </c:pt>
                <c:pt idx="11">
                  <c:v>6560.8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2-4E0A-880D-8CBC21A8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562691"/>
        <c:axId val="94930803"/>
      </c:lineChart>
      <c:catAx>
        <c:axId val="555626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30803"/>
        <c:crosses val="autoZero"/>
        <c:auto val="1"/>
        <c:lblAlgn val="ctr"/>
        <c:lblOffset val="100"/>
        <c:noMultiLvlLbl val="0"/>
      </c:catAx>
      <c:valAx>
        <c:axId val="9493080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62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Monthly Net Profit (IDR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Monthly_Summary!$H$4</c:f>
              <c:strCache>
                <c:ptCount val="1"/>
                <c:pt idx="0">
                  <c:v>Net Profit</c:v>
                </c:pt>
              </c:strCache>
            </c:strRef>
          </c:tx>
          <c:spPr>
            <a:ln w="28080">
              <a:solidFill>
                <a:srgbClr val="2BB673"/>
              </a:solidFill>
              <a:round/>
            </a:ln>
          </c:spPr>
          <c:marker>
            <c:symbol val="circle"/>
            <c:size val="6"/>
            <c:spPr>
              <a:solidFill>
                <a:srgbClr val="2BB67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Monthly_Summary!$H$5:$H$16</c:f>
              <c:numCache>
                <c:formatCode>#,##0</c:formatCode>
                <c:ptCount val="12"/>
                <c:pt idx="0">
                  <c:v>943.19999999999993</c:v>
                </c:pt>
                <c:pt idx="1">
                  <c:v>983.49999999999989</c:v>
                </c:pt>
                <c:pt idx="2">
                  <c:v>1148.1000000000001</c:v>
                </c:pt>
                <c:pt idx="3">
                  <c:v>1309.8999999999999</c:v>
                </c:pt>
                <c:pt idx="4">
                  <c:v>1051.8</c:v>
                </c:pt>
                <c:pt idx="5">
                  <c:v>1110.3</c:v>
                </c:pt>
                <c:pt idx="6">
                  <c:v>1141.2</c:v>
                </c:pt>
                <c:pt idx="7">
                  <c:v>1166.1000000000001</c:v>
                </c:pt>
                <c:pt idx="8">
                  <c:v>1198.2</c:v>
                </c:pt>
                <c:pt idx="9">
                  <c:v>1251.9000000000001</c:v>
                </c:pt>
                <c:pt idx="10">
                  <c:v>1440.3999999999996</c:v>
                </c:pt>
                <c:pt idx="11">
                  <c:v>1645.9999999999995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29-4CCA-9691-5D36759B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702934"/>
        <c:axId val="95466490"/>
      </c:lineChart>
      <c:catAx>
        <c:axId val="367029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66490"/>
        <c:crosses val="autoZero"/>
        <c:auto val="1"/>
        <c:lblAlgn val="ctr"/>
        <c:lblOffset val="100"/>
        <c:noMultiLvlLbl val="0"/>
      </c:catAx>
      <c:valAx>
        <c:axId val="95466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029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Operating 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Cost_Breakdown!$B$4</c:f>
              <c:strCache>
                <c:ptCount val="1"/>
                <c:pt idx="0">
                  <c:v>Annual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2EA-440C-B458-2E510E9D43C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2EA-440C-B458-2E510E9D43C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2EA-440C-B458-2E510E9D43C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2EA-440C-B458-2E510E9D43C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EA-440C-B458-2E510E9D43C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EA-440C-B458-2E510E9D43C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EA-440C-B458-2E510E9D43C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EA-440C-B458-2E510E9D4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Cost_Breakdown!$A$5:$A$8</c:f>
              <c:strCache>
                <c:ptCount val="4"/>
                <c:pt idx="0">
                  <c:v>Operational Cost</c:v>
                </c:pt>
                <c:pt idx="1">
                  <c:v>Marketing Spend</c:v>
                </c:pt>
                <c:pt idx="2">
                  <c:v>Employee Cost</c:v>
                </c:pt>
                <c:pt idx="3">
                  <c:v>Software Subscription Cost</c:v>
                </c:pt>
              </c:strCache>
            </c:strRef>
          </c:cat>
          <c:val>
            <c:numRef>
              <c:f>Cost_Breakdown!$B$5:$B$8</c:f>
              <c:numCache>
                <c:formatCode>#,##0</c:formatCode>
                <c:ptCount val="4"/>
                <c:pt idx="0">
                  <c:v>27568.599999999995</c:v>
                </c:pt>
                <c:pt idx="1">
                  <c:v>5773.0000000000009</c:v>
                </c:pt>
                <c:pt idx="2">
                  <c:v>8303.0000000000018</c:v>
                </c:pt>
                <c:pt idx="3">
                  <c:v>3151.0000000000027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EA-440C-B458-2E510E9D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Profitability by Service Line (IDR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Service_Summary!$C$4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0A6A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Service_Summary!$A$5:$A$8</c:f>
              <c:strCache>
                <c:ptCount val="4"/>
                <c:pt idx="0">
                  <c:v>Influencer Marketing</c:v>
                </c:pt>
                <c:pt idx="1">
                  <c:v>Ads Management</c:v>
                </c:pt>
                <c:pt idx="2">
                  <c:v>E-commerce Enablement</c:v>
                </c:pt>
                <c:pt idx="3">
                  <c:v>SaaS Creator Platform</c:v>
                </c:pt>
              </c:strCache>
            </c:strRef>
          </c:cat>
          <c:val>
            <c:numRef>
              <c:f>Service_Summary!$C$5:$C$8</c:f>
              <c:numCache>
                <c:formatCode>#,##0</c:formatCode>
                <c:ptCount val="4"/>
                <c:pt idx="0">
                  <c:v>7456.3</c:v>
                </c:pt>
                <c:pt idx="1">
                  <c:v>9208.6</c:v>
                </c:pt>
                <c:pt idx="2">
                  <c:v>8495.9</c:v>
                </c:pt>
                <c:pt idx="3">
                  <c:v>6457.7000000000007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E-4196-A084-0778F7435E78}"/>
            </c:ext>
          </c:extLst>
        </c:ser>
        <c:ser>
          <c:idx val="1"/>
          <c:order val="1"/>
          <c:tx>
            <c:strRef>
              <c:f>Service_Summary!$D$4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E5B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Service_Summary!$A$5:$A$8</c:f>
              <c:strCache>
                <c:ptCount val="4"/>
                <c:pt idx="0">
                  <c:v>Influencer Marketing</c:v>
                </c:pt>
                <c:pt idx="1">
                  <c:v>Ads Management</c:v>
                </c:pt>
                <c:pt idx="2">
                  <c:v>E-commerce Enablement</c:v>
                </c:pt>
                <c:pt idx="3">
                  <c:v>SaaS Creator Platform</c:v>
                </c:pt>
              </c:strCache>
            </c:strRef>
          </c:cat>
          <c:val>
            <c:numRef>
              <c:f>Service_Summary!$D$5:$D$8</c:f>
              <c:numCache>
                <c:formatCode>#,##0</c:formatCode>
                <c:ptCount val="4"/>
                <c:pt idx="0">
                  <c:v>3959.2</c:v>
                </c:pt>
                <c:pt idx="1">
                  <c:v>4229.7000000000007</c:v>
                </c:pt>
                <c:pt idx="2">
                  <c:v>4022</c:v>
                </c:pt>
                <c:pt idx="3">
                  <c:v>2179.6999999999994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E-4196-A084-0778F7435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3659538"/>
        <c:axId val="25238159"/>
      </c:barChart>
      <c:catAx>
        <c:axId val="236595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38159"/>
        <c:crosses val="autoZero"/>
        <c:auto val="1"/>
        <c:lblAlgn val="ctr"/>
        <c:lblOffset val="100"/>
        <c:noMultiLvlLbl val="0"/>
      </c:catAx>
      <c:valAx>
        <c:axId val="25238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59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Budget vs Actual Spend (IDR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Budget_vs_Actual!$B$4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6B72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Budget_vs_Actual!$B$5:$B$16</c:f>
              <c:numCache>
                <c:formatCode>#,##0</c:formatCode>
                <c:ptCount val="12"/>
                <c:pt idx="0">
                  <c:v>4049.6</c:v>
                </c:pt>
                <c:pt idx="1">
                  <c:v>4172.8</c:v>
                </c:pt>
                <c:pt idx="2">
                  <c:v>4826.2</c:v>
                </c:pt>
                <c:pt idx="3">
                  <c:v>5166.3999999999996</c:v>
                </c:pt>
                <c:pt idx="4">
                  <c:v>4585.8</c:v>
                </c:pt>
                <c:pt idx="5">
                  <c:v>4579.5</c:v>
                </c:pt>
                <c:pt idx="6">
                  <c:v>4668.6000000000004</c:v>
                </c:pt>
                <c:pt idx="7">
                  <c:v>4931.8</c:v>
                </c:pt>
                <c:pt idx="8">
                  <c:v>5180.3999999999996</c:v>
                </c:pt>
                <c:pt idx="9">
                  <c:v>5346.4000000000015</c:v>
                </c:pt>
                <c:pt idx="10">
                  <c:v>6147.4</c:v>
                </c:pt>
                <c:pt idx="11">
                  <c:v>6642.3999999999987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5-4C31-9EFA-9475F8A08BB5}"/>
            </c:ext>
          </c:extLst>
        </c:ser>
        <c:ser>
          <c:idx val="1"/>
          <c:order val="1"/>
          <c:tx>
            <c:strRef>
              <c:f>Budget_vs_Actual!$C$4</c:f>
              <c:strCache>
                <c:ptCount val="1"/>
                <c:pt idx="0">
                  <c:v>Actual Spending</c:v>
                </c:pt>
              </c:strCache>
            </c:strRef>
          </c:tx>
          <c:spPr>
            <a:solidFill>
              <a:srgbClr val="F5A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Budget_vs_Actual!$C$5:$C$16</c:f>
              <c:numCache>
                <c:formatCode>#,##0</c:formatCode>
                <c:ptCount val="12"/>
                <c:pt idx="0">
                  <c:v>3056</c:v>
                </c:pt>
                <c:pt idx="1">
                  <c:v>3177.7999999999997</c:v>
                </c:pt>
                <c:pt idx="2">
                  <c:v>3745.5999999999995</c:v>
                </c:pt>
                <c:pt idx="3">
                  <c:v>3870.5000000000005</c:v>
                </c:pt>
                <c:pt idx="4">
                  <c:v>3454.6999999999994</c:v>
                </c:pt>
                <c:pt idx="5">
                  <c:v>3425.7000000000003</c:v>
                </c:pt>
                <c:pt idx="6">
                  <c:v>3634.7999999999993</c:v>
                </c:pt>
                <c:pt idx="7">
                  <c:v>3604.2</c:v>
                </c:pt>
                <c:pt idx="8">
                  <c:v>3868.2000000000003</c:v>
                </c:pt>
                <c:pt idx="9">
                  <c:v>3935.3</c:v>
                </c:pt>
                <c:pt idx="10">
                  <c:v>4777.9000000000005</c:v>
                </c:pt>
                <c:pt idx="11">
                  <c:v>5056.3999999999987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5-4C31-9EFA-9475F8A08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6653994"/>
        <c:axId val="52371947"/>
      </c:barChart>
      <c:catAx>
        <c:axId val="566539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71947"/>
        <c:crosses val="autoZero"/>
        <c:auto val="1"/>
        <c:lblAlgn val="ctr"/>
        <c:lblOffset val="100"/>
        <c:noMultiLvlLbl val="0"/>
      </c:catAx>
      <c:valAx>
        <c:axId val="52371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53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Revenue Forecast — Next 3 Months (IDR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Forecast!$G$4</c:f>
              <c:strCache>
                <c:ptCount val="1"/>
                <c:pt idx="0">
                  <c:v>Rev Actual</c:v>
                </c:pt>
              </c:strCache>
            </c:strRef>
          </c:tx>
          <c:spPr>
            <a:ln w="25920">
              <a:solidFill>
                <a:srgbClr val="2E5B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Forecast!$B$5:$B$19</c:f>
              <c:strCache>
                <c:ptCount val="15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</c:strCache>
            </c:strRef>
          </c:cat>
          <c:val>
            <c:numRef>
              <c:f>Forecast!$G$5:$G$19</c:f>
              <c:numCache>
                <c:formatCode>#,##0</c:formatCode>
                <c:ptCount val="15"/>
                <c:pt idx="0">
                  <c:v>3945.6000000000004</c:v>
                </c:pt>
                <c:pt idx="1">
                  <c:v>4107.9999999999991</c:v>
                </c:pt>
                <c:pt idx="2">
                  <c:v>4803.9999999999991</c:v>
                </c:pt>
                <c:pt idx="3">
                  <c:v>5126.9000000000015</c:v>
                </c:pt>
                <c:pt idx="4">
                  <c:v>4425.8</c:v>
                </c:pt>
                <c:pt idx="5">
                  <c:v>4523.6000000000004</c:v>
                </c:pt>
                <c:pt idx="6">
                  <c:v>4681.3</c:v>
                </c:pt>
                <c:pt idx="7">
                  <c:v>4778.8</c:v>
                </c:pt>
                <c:pt idx="8">
                  <c:v>5039.4000000000005</c:v>
                </c:pt>
                <c:pt idx="9">
                  <c:v>5100.7</c:v>
                </c:pt>
                <c:pt idx="10">
                  <c:v>6091.7999999999993</c:v>
                </c:pt>
                <c:pt idx="11">
                  <c:v>6560.8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D-436D-AA02-8D9E3949005E}"/>
            </c:ext>
          </c:extLst>
        </c:ser>
        <c:ser>
          <c:idx val="1"/>
          <c:order val="1"/>
          <c:tx>
            <c:strRef>
              <c:f>Forecast!$H$4</c:f>
              <c:strCache>
                <c:ptCount val="1"/>
                <c:pt idx="0">
                  <c:v>Rev Forecast</c:v>
                </c:pt>
              </c:strCache>
            </c:strRef>
          </c:tx>
          <c:spPr>
            <a:ln w="25920">
              <a:solidFill>
                <a:srgbClr val="F5A623"/>
              </a:solidFill>
              <a:prstDash val="dash"/>
              <a:round/>
            </a:ln>
          </c:spPr>
          <c:marker>
            <c:symbol val="diamond"/>
            <c:size val="7"/>
            <c:spPr>
              <a:solidFill>
                <a:srgbClr val="F5A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Forecast!$B$5:$B$19</c:f>
              <c:strCache>
                <c:ptCount val="15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</c:strCache>
            </c:strRef>
          </c:cat>
          <c:val>
            <c:numRef>
              <c:f>Forecast!$H$5:$H$19</c:f>
              <c:numCache>
                <c:formatCode>#,##0</c:formatCode>
                <c:ptCount val="15"/>
                <c:pt idx="11">
                  <c:v>6560.8</c:v>
                </c:pt>
                <c:pt idx="12">
                  <c:v>6056.7136363636364</c:v>
                </c:pt>
                <c:pt idx="13">
                  <c:v>6229.7118881118877</c:v>
                </c:pt>
                <c:pt idx="14">
                  <c:v>6402.710139860139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7D-436D-AA02-8D9E39490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111361"/>
        <c:axId val="11370545"/>
      </c:lineChart>
      <c:catAx>
        <c:axId val="37111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70545"/>
        <c:crosses val="autoZero"/>
        <c:auto val="1"/>
        <c:lblAlgn val="ctr"/>
        <c:lblOffset val="100"/>
        <c:noMultiLvlLbl val="0"/>
      </c:catAx>
      <c:valAx>
        <c:axId val="11370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11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9</xdr:col>
      <xdr:colOff>4320</xdr:colOff>
      <xdr:row>28</xdr:row>
      <xdr:rowOff>32040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18</xdr:col>
      <xdr:colOff>4320</xdr:colOff>
      <xdr:row>28</xdr:row>
      <xdr:rowOff>32040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4320</xdr:colOff>
      <xdr:row>44</xdr:row>
      <xdr:rowOff>32400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18</xdr:col>
      <xdr:colOff>4320</xdr:colOff>
      <xdr:row>44</xdr:row>
      <xdr:rowOff>32400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4320</xdr:colOff>
      <xdr:row>60</xdr:row>
      <xdr:rowOff>32400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18</xdr:col>
      <xdr:colOff>4320</xdr:colOff>
      <xdr:row>60</xdr:row>
      <xdr:rowOff>32400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"/>
  <sheetViews>
    <sheetView showGridLines="0" tabSelected="1" topLeftCell="A50" zoomScaleNormal="100" workbookViewId="0">
      <selection activeCell="I8" sqref="I8:L8"/>
    </sheetView>
  </sheetViews>
  <sheetFormatPr defaultColWidth="8.6328125" defaultRowHeight="14.5" x14ac:dyDescent="0.35"/>
  <cols>
    <col min="1" max="18" width="8.453125" customWidth="1"/>
  </cols>
  <sheetData>
    <row r="1" spans="1:18" ht="19.5" customHeight="1" x14ac:dyDescent="0.3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19.5" customHeight="1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15" customHeight="1" x14ac:dyDescent="0.35">
      <c r="A3" s="42" t="s">
        <v>115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5" spans="1:18" ht="6" customHeight="1" x14ac:dyDescent="0.35">
      <c r="A5" s="1"/>
      <c r="B5" s="1"/>
      <c r="C5" s="1"/>
      <c r="D5" s="1"/>
      <c r="E5" s="2"/>
      <c r="F5" s="2"/>
      <c r="G5" s="2"/>
      <c r="H5" s="2"/>
      <c r="I5" s="3"/>
      <c r="J5" s="3"/>
      <c r="K5" s="3"/>
      <c r="L5" s="3"/>
      <c r="M5" s="4"/>
      <c r="N5" s="4"/>
      <c r="O5" s="4"/>
      <c r="P5" s="4"/>
    </row>
    <row r="6" spans="1:18" ht="15" customHeight="1" x14ac:dyDescent="0.35">
      <c r="A6" s="36" t="s">
        <v>1</v>
      </c>
      <c r="B6" s="36"/>
      <c r="C6" s="36"/>
      <c r="D6" s="36"/>
      <c r="E6" s="36" t="s">
        <v>2</v>
      </c>
      <c r="F6" s="36"/>
      <c r="G6" s="36"/>
      <c r="H6" s="36"/>
      <c r="I6" s="36" t="s">
        <v>3</v>
      </c>
      <c r="J6" s="36"/>
      <c r="K6" s="36"/>
      <c r="L6" s="36"/>
      <c r="M6" s="36" t="s">
        <v>4</v>
      </c>
      <c r="N6" s="36"/>
      <c r="O6" s="36"/>
      <c r="P6" s="36"/>
    </row>
    <row r="7" spans="1:18" ht="27.75" customHeight="1" x14ac:dyDescent="0.35">
      <c r="A7" s="40">
        <f>Monthly_Summary!B17</f>
        <v>59186.7</v>
      </c>
      <c r="B7" s="40"/>
      <c r="C7" s="40"/>
      <c r="D7" s="40"/>
      <c r="E7" s="40">
        <f>Monthly_Summary!H17</f>
        <v>14390.6</v>
      </c>
      <c r="F7" s="40"/>
      <c r="G7" s="40"/>
      <c r="H7" s="40"/>
      <c r="I7" s="37">
        <f>Monthly_Summary!G17/Monthly_Summary!B17</f>
        <v>0.53421630197324743</v>
      </c>
      <c r="J7" s="37"/>
      <c r="K7" s="37"/>
      <c r="L7" s="37"/>
      <c r="M7" s="37">
        <f>Monthly_Summary!H17/Monthly_Summary!B17</f>
        <v>0.24313908361168982</v>
      </c>
      <c r="N7" s="37"/>
      <c r="O7" s="37"/>
      <c r="P7" s="37"/>
    </row>
    <row r="8" spans="1:18" ht="15" customHeight="1" x14ac:dyDescent="0.35">
      <c r="A8" s="34" t="s">
        <v>116</v>
      </c>
      <c r="B8" s="34"/>
      <c r="C8" s="34"/>
      <c r="D8" s="34"/>
      <c r="E8" s="34" t="s">
        <v>116</v>
      </c>
      <c r="F8" s="34"/>
      <c r="G8" s="34"/>
      <c r="H8" s="34"/>
      <c r="I8" s="34" t="s">
        <v>5</v>
      </c>
      <c r="J8" s="34"/>
      <c r="K8" s="34"/>
      <c r="L8" s="34"/>
      <c r="M8" s="34" t="s">
        <v>5</v>
      </c>
      <c r="N8" s="34"/>
      <c r="O8" s="34"/>
      <c r="P8" s="34"/>
    </row>
    <row r="10" spans="1:18" ht="6" customHeight="1" x14ac:dyDescent="0.35">
      <c r="A10" s="5"/>
      <c r="B10" s="5"/>
      <c r="C10" s="5"/>
      <c r="D10" s="5"/>
      <c r="E10" s="2"/>
      <c r="F10" s="2"/>
      <c r="G10" s="2"/>
      <c r="H10" s="2"/>
      <c r="I10" s="1"/>
      <c r="J10" s="1"/>
      <c r="K10" s="1"/>
      <c r="L10" s="1"/>
      <c r="M10" s="6"/>
      <c r="N10" s="6"/>
      <c r="O10" s="6"/>
      <c r="P10" s="6"/>
    </row>
    <row r="11" spans="1:18" ht="15" customHeight="1" x14ac:dyDescent="0.35">
      <c r="A11" s="36" t="s">
        <v>6</v>
      </c>
      <c r="B11" s="36"/>
      <c r="C11" s="36"/>
      <c r="D11" s="36"/>
      <c r="E11" s="36" t="s">
        <v>7</v>
      </c>
      <c r="F11" s="36"/>
      <c r="G11" s="36"/>
      <c r="H11" s="36"/>
      <c r="I11" s="36" t="s">
        <v>8</v>
      </c>
      <c r="J11" s="36"/>
      <c r="K11" s="36"/>
      <c r="L11" s="36"/>
      <c r="M11" s="36" t="s">
        <v>9</v>
      </c>
      <c r="N11" s="36"/>
      <c r="O11" s="36"/>
      <c r="P11" s="36"/>
    </row>
    <row r="12" spans="1:18" ht="27.75" customHeight="1" x14ac:dyDescent="0.35">
      <c r="A12" s="37">
        <f>Monthly_Summary!I17/Monthly_Summary!B17</f>
        <v>0.75685246854445354</v>
      </c>
      <c r="B12" s="37"/>
      <c r="C12" s="37"/>
      <c r="D12" s="37"/>
      <c r="E12" s="37">
        <f>(Monthly_Summary!B16-Monthly_Summary!B5)/Monthly_Summary!B5</f>
        <v>0.66281427412814264</v>
      </c>
      <c r="F12" s="37"/>
      <c r="G12" s="37"/>
      <c r="H12" s="37"/>
      <c r="I12" s="38">
        <f>AVERAGE(Raw_Data!L5:L196)</f>
        <v>4.1817187500000044</v>
      </c>
      <c r="J12" s="38"/>
      <c r="K12" s="38"/>
      <c r="L12" s="38"/>
      <c r="M12" s="39">
        <f>AVERAGE(Raw_Data!K5:K196)</f>
        <v>3.7979687500000026</v>
      </c>
      <c r="N12" s="39"/>
      <c r="O12" s="39"/>
      <c r="P12" s="39"/>
    </row>
    <row r="13" spans="1:18" ht="15" customHeight="1" x14ac:dyDescent="0.35">
      <c r="A13" s="34" t="s">
        <v>5</v>
      </c>
      <c r="B13" s="34"/>
      <c r="C13" s="34"/>
      <c r="D13" s="34"/>
      <c r="E13" s="34" t="s">
        <v>10</v>
      </c>
      <c r="F13" s="34"/>
      <c r="G13" s="34"/>
      <c r="H13" s="34"/>
      <c r="I13" s="34" t="s">
        <v>11</v>
      </c>
      <c r="J13" s="34"/>
      <c r="K13" s="34"/>
      <c r="L13" s="34"/>
      <c r="M13" s="34" t="s">
        <v>117</v>
      </c>
      <c r="N13" s="34"/>
      <c r="O13" s="34"/>
      <c r="P13" s="34"/>
    </row>
    <row r="64" spans="1:18" ht="15" customHeight="1" x14ac:dyDescent="0.35">
      <c r="A64" s="35" t="s">
        <v>114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</sheetData>
  <mergeCells count="27">
    <mergeCell ref="A1:R2"/>
    <mergeCell ref="A3:R3"/>
    <mergeCell ref="A6:D6"/>
    <mergeCell ref="E6:H6"/>
    <mergeCell ref="I6:L6"/>
    <mergeCell ref="M6:P6"/>
    <mergeCell ref="A7:D7"/>
    <mergeCell ref="E7:H7"/>
    <mergeCell ref="I7:L7"/>
    <mergeCell ref="M7:P7"/>
    <mergeCell ref="A8:D8"/>
    <mergeCell ref="E8:H8"/>
    <mergeCell ref="I8:L8"/>
    <mergeCell ref="M8:P8"/>
    <mergeCell ref="A11:D11"/>
    <mergeCell ref="E11:H11"/>
    <mergeCell ref="I11:L11"/>
    <mergeCell ref="M11:P11"/>
    <mergeCell ref="A12:D12"/>
    <mergeCell ref="E12:H12"/>
    <mergeCell ref="I12:L12"/>
    <mergeCell ref="M12:P12"/>
    <mergeCell ref="A13:D13"/>
    <mergeCell ref="E13:H13"/>
    <mergeCell ref="I13:L13"/>
    <mergeCell ref="M13:P13"/>
    <mergeCell ref="A64:R6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6"/>
  <sheetViews>
    <sheetView zoomScale="66" zoomScaleNormal="100" workbookViewId="0">
      <pane ySplit="4" topLeftCell="A5" activePane="bottomLeft" state="frozen"/>
      <selection pane="bottomLeft" sqref="A1:N1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20" customWidth="1"/>
    <col min="4" max="4" width="12" customWidth="1"/>
    <col min="5" max="5" width="15" customWidth="1"/>
    <col min="6" max="6" width="14" customWidth="1"/>
    <col min="7" max="7" width="13" customWidth="1"/>
    <col min="8" max="8" width="18" customWidth="1"/>
    <col min="9" max="9" width="12" customWidth="1"/>
    <col min="10" max="10" width="11" customWidth="1"/>
    <col min="11" max="12" width="8" customWidth="1"/>
    <col min="13" max="13" width="11" customWidth="1"/>
    <col min="14" max="14" width="14" customWidth="1"/>
  </cols>
  <sheetData>
    <row r="1" spans="1:14" ht="25.5" customHeight="1" x14ac:dyDescent="0.5">
      <c r="A1" s="43" t="s">
        <v>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5" customHeight="1" x14ac:dyDescent="0.35">
      <c r="A2" s="42" t="s">
        <v>13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4" ht="23.25" customHeight="1" x14ac:dyDescent="0.35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26</v>
      </c>
      <c r="N4" s="7" t="s">
        <v>27</v>
      </c>
    </row>
    <row r="5" spans="1:14" ht="15" customHeight="1" x14ac:dyDescent="0.35">
      <c r="A5" s="8" t="s">
        <v>28</v>
      </c>
      <c r="B5" s="8" t="s">
        <v>29</v>
      </c>
      <c r="C5" s="8" t="s">
        <v>30</v>
      </c>
      <c r="D5" s="9">
        <v>278.5</v>
      </c>
      <c r="E5" s="9">
        <v>120.2</v>
      </c>
      <c r="F5" s="9">
        <v>25.2</v>
      </c>
      <c r="G5" s="9">
        <v>40.5</v>
      </c>
      <c r="H5" s="9">
        <v>8.6</v>
      </c>
      <c r="I5" s="9">
        <v>158.30000000000001</v>
      </c>
      <c r="J5" s="9">
        <v>84</v>
      </c>
      <c r="K5" s="10">
        <v>2.92</v>
      </c>
      <c r="L5" s="10">
        <v>3.88</v>
      </c>
      <c r="M5" s="9">
        <v>272.3</v>
      </c>
      <c r="N5" s="9">
        <v>193.3</v>
      </c>
    </row>
    <row r="6" spans="1:14" ht="15" customHeight="1" x14ac:dyDescent="0.35">
      <c r="A6" s="8" t="s">
        <v>28</v>
      </c>
      <c r="B6" s="8" t="s">
        <v>29</v>
      </c>
      <c r="C6" s="8" t="s">
        <v>31</v>
      </c>
      <c r="D6" s="9">
        <v>199.4</v>
      </c>
      <c r="E6" s="9">
        <v>83.6</v>
      </c>
      <c r="F6" s="9">
        <v>19.2</v>
      </c>
      <c r="G6" s="9">
        <v>28.3</v>
      </c>
      <c r="H6" s="9">
        <v>5.8</v>
      </c>
      <c r="I6" s="9">
        <v>115.9</v>
      </c>
      <c r="J6" s="9">
        <v>62.6</v>
      </c>
      <c r="K6" s="10">
        <v>3</v>
      </c>
      <c r="L6" s="10">
        <v>4.07</v>
      </c>
      <c r="M6" s="9">
        <v>203.1</v>
      </c>
      <c r="N6" s="9">
        <v>143.19999999999999</v>
      </c>
    </row>
    <row r="7" spans="1:14" ht="15" customHeight="1" x14ac:dyDescent="0.35">
      <c r="A7" s="8" t="s">
        <v>28</v>
      </c>
      <c r="B7" s="8" t="s">
        <v>29</v>
      </c>
      <c r="C7" s="8" t="s">
        <v>32</v>
      </c>
      <c r="D7" s="9">
        <v>179.6</v>
      </c>
      <c r="E7" s="9">
        <v>75.900000000000006</v>
      </c>
      <c r="F7" s="9">
        <v>18.5</v>
      </c>
      <c r="G7" s="9">
        <v>24.5</v>
      </c>
      <c r="H7" s="9">
        <v>5.4</v>
      </c>
      <c r="I7" s="9">
        <v>103.7</v>
      </c>
      <c r="J7" s="9">
        <v>55.2</v>
      </c>
      <c r="K7" s="10">
        <v>2.88</v>
      </c>
      <c r="L7" s="10">
        <v>3.76</v>
      </c>
      <c r="M7" s="9">
        <v>196.1</v>
      </c>
      <c r="N7" s="9">
        <v>132.6</v>
      </c>
    </row>
    <row r="8" spans="1:14" ht="15" customHeight="1" x14ac:dyDescent="0.35">
      <c r="A8" s="8" t="s">
        <v>28</v>
      </c>
      <c r="B8" s="8" t="s">
        <v>29</v>
      </c>
      <c r="C8" s="8" t="s">
        <v>33</v>
      </c>
      <c r="D8" s="9">
        <v>197.9</v>
      </c>
      <c r="E8" s="9">
        <v>81.8</v>
      </c>
      <c r="F8" s="9">
        <v>18.2</v>
      </c>
      <c r="G8" s="9">
        <v>28.2</v>
      </c>
      <c r="H8" s="9">
        <v>5.9</v>
      </c>
      <c r="I8" s="9">
        <v>116.2</v>
      </c>
      <c r="J8" s="9">
        <v>63.8</v>
      </c>
      <c r="K8" s="10">
        <v>2.84</v>
      </c>
      <c r="L8" s="10">
        <v>4.2</v>
      </c>
      <c r="M8" s="9">
        <v>189.1</v>
      </c>
      <c r="N8" s="9">
        <v>142.19999999999999</v>
      </c>
    </row>
    <row r="9" spans="1:14" ht="15" customHeight="1" x14ac:dyDescent="0.35">
      <c r="A9" s="8" t="s">
        <v>28</v>
      </c>
      <c r="B9" s="8" t="s">
        <v>34</v>
      </c>
      <c r="C9" s="8" t="s">
        <v>35</v>
      </c>
      <c r="D9" s="9">
        <v>631.79999999999995</v>
      </c>
      <c r="E9" s="9">
        <v>364.3</v>
      </c>
      <c r="F9" s="9">
        <v>52.1</v>
      </c>
      <c r="G9" s="9">
        <v>78.400000000000006</v>
      </c>
      <c r="H9" s="9">
        <v>24.2</v>
      </c>
      <c r="I9" s="9">
        <v>267.5</v>
      </c>
      <c r="J9" s="9">
        <v>112.7</v>
      </c>
      <c r="K9" s="10">
        <v>2.1800000000000002</v>
      </c>
      <c r="L9" s="10">
        <v>4.9000000000000004</v>
      </c>
      <c r="M9" s="9">
        <v>631.1</v>
      </c>
      <c r="N9" s="9">
        <v>520.6</v>
      </c>
    </row>
    <row r="10" spans="1:14" ht="15" customHeight="1" x14ac:dyDescent="0.35">
      <c r="A10" s="8" t="s">
        <v>28</v>
      </c>
      <c r="B10" s="8" t="s">
        <v>34</v>
      </c>
      <c r="C10" s="8" t="s">
        <v>36</v>
      </c>
      <c r="D10" s="9">
        <v>185.9</v>
      </c>
      <c r="E10" s="9">
        <v>106.5</v>
      </c>
      <c r="F10" s="9">
        <v>14.6</v>
      </c>
      <c r="G10" s="9">
        <v>22.1</v>
      </c>
      <c r="H10" s="9">
        <v>7.5</v>
      </c>
      <c r="I10" s="9">
        <v>79.400000000000006</v>
      </c>
      <c r="J10" s="9">
        <v>35.299999999999997</v>
      </c>
      <c r="K10" s="10">
        <v>2.14</v>
      </c>
      <c r="L10" s="10">
        <v>5.9</v>
      </c>
      <c r="M10" s="9">
        <v>178.7</v>
      </c>
      <c r="N10" s="9">
        <v>160.9</v>
      </c>
    </row>
    <row r="11" spans="1:14" ht="15" customHeight="1" x14ac:dyDescent="0.35">
      <c r="A11" s="8" t="s">
        <v>28</v>
      </c>
      <c r="B11" s="8" t="s">
        <v>34</v>
      </c>
      <c r="C11" s="8" t="s">
        <v>37</v>
      </c>
      <c r="D11" s="9">
        <v>187.4</v>
      </c>
      <c r="E11" s="9">
        <v>100.2</v>
      </c>
      <c r="F11" s="9">
        <v>13.5</v>
      </c>
      <c r="G11" s="9">
        <v>23.1</v>
      </c>
      <c r="H11" s="9">
        <v>7.6</v>
      </c>
      <c r="I11" s="9">
        <v>87.2</v>
      </c>
      <c r="J11" s="9">
        <v>43</v>
      </c>
      <c r="K11" s="10">
        <v>2.56</v>
      </c>
      <c r="L11" s="10">
        <v>5.86</v>
      </c>
      <c r="M11" s="9">
        <v>180.1</v>
      </c>
      <c r="N11" s="9">
        <v>144.30000000000001</v>
      </c>
    </row>
    <row r="12" spans="1:14" ht="15" customHeight="1" x14ac:dyDescent="0.35">
      <c r="A12" s="8" t="s">
        <v>28</v>
      </c>
      <c r="B12" s="8" t="s">
        <v>34</v>
      </c>
      <c r="C12" s="8" t="s">
        <v>38</v>
      </c>
      <c r="D12" s="9">
        <v>410.3</v>
      </c>
      <c r="E12" s="9">
        <v>235.8</v>
      </c>
      <c r="F12" s="9">
        <v>34</v>
      </c>
      <c r="G12" s="9">
        <v>48.9</v>
      </c>
      <c r="H12" s="9">
        <v>15.7</v>
      </c>
      <c r="I12" s="9">
        <v>174.5</v>
      </c>
      <c r="J12" s="9">
        <v>75.900000000000006</v>
      </c>
      <c r="K12" s="10">
        <v>2.2599999999999998</v>
      </c>
      <c r="L12" s="10">
        <v>5.27</v>
      </c>
      <c r="M12" s="9">
        <v>434.7</v>
      </c>
      <c r="N12" s="9">
        <v>344.5</v>
      </c>
    </row>
    <row r="13" spans="1:14" ht="15" customHeight="1" x14ac:dyDescent="0.35">
      <c r="A13" s="8" t="s">
        <v>28</v>
      </c>
      <c r="B13" s="8" t="s">
        <v>39</v>
      </c>
      <c r="C13" s="8" t="s">
        <v>40</v>
      </c>
      <c r="D13" s="9">
        <v>182.6</v>
      </c>
      <c r="E13" s="9">
        <v>87.4</v>
      </c>
      <c r="F13" s="9">
        <v>14.9</v>
      </c>
      <c r="G13" s="9">
        <v>23.2</v>
      </c>
      <c r="H13" s="9">
        <v>8.6999999999999993</v>
      </c>
      <c r="I13" s="9">
        <v>95.2</v>
      </c>
      <c r="J13" s="9">
        <v>48.4</v>
      </c>
      <c r="K13" s="10">
        <v>4.2699999999999996</v>
      </c>
      <c r="L13" s="10">
        <v>3.63</v>
      </c>
      <c r="M13" s="9">
        <v>187.4</v>
      </c>
      <c r="N13" s="9">
        <v>142.19999999999999</v>
      </c>
    </row>
    <row r="14" spans="1:14" ht="15" customHeight="1" x14ac:dyDescent="0.35">
      <c r="A14" s="8" t="s">
        <v>28</v>
      </c>
      <c r="B14" s="8" t="s">
        <v>39</v>
      </c>
      <c r="C14" s="8" t="s">
        <v>41</v>
      </c>
      <c r="D14" s="9">
        <v>294</v>
      </c>
      <c r="E14" s="9">
        <v>140.4</v>
      </c>
      <c r="F14" s="9">
        <v>28.2</v>
      </c>
      <c r="G14" s="9">
        <v>37.700000000000003</v>
      </c>
      <c r="H14" s="9">
        <v>14.1</v>
      </c>
      <c r="I14" s="9">
        <v>153.5</v>
      </c>
      <c r="J14" s="9">
        <v>73.599999999999994</v>
      </c>
      <c r="K14" s="10">
        <v>3.84</v>
      </c>
      <c r="L14" s="10">
        <v>3.49</v>
      </c>
      <c r="M14" s="9">
        <v>320.3</v>
      </c>
      <c r="N14" s="9">
        <v>231.2</v>
      </c>
    </row>
    <row r="15" spans="1:14" ht="15" customHeight="1" x14ac:dyDescent="0.35">
      <c r="A15" s="8" t="s">
        <v>28</v>
      </c>
      <c r="B15" s="8" t="s">
        <v>39</v>
      </c>
      <c r="C15" s="8" t="s">
        <v>42</v>
      </c>
      <c r="D15" s="9">
        <v>231.7</v>
      </c>
      <c r="E15" s="9">
        <v>116.3</v>
      </c>
      <c r="F15" s="9">
        <v>22.5</v>
      </c>
      <c r="G15" s="9">
        <v>29.6</v>
      </c>
      <c r="H15" s="9">
        <v>12</v>
      </c>
      <c r="I15" s="9">
        <v>115.4</v>
      </c>
      <c r="J15" s="9">
        <v>51.3</v>
      </c>
      <c r="K15" s="10">
        <v>4.1500000000000004</v>
      </c>
      <c r="L15" s="10">
        <v>4.08</v>
      </c>
      <c r="M15" s="9">
        <v>251.3</v>
      </c>
      <c r="N15" s="9">
        <v>179.5</v>
      </c>
    </row>
    <row r="16" spans="1:14" ht="15" customHeight="1" x14ac:dyDescent="0.35">
      <c r="A16" s="8" t="s">
        <v>28</v>
      </c>
      <c r="B16" s="8" t="s">
        <v>39</v>
      </c>
      <c r="C16" s="8" t="s">
        <v>43</v>
      </c>
      <c r="D16" s="9">
        <v>360.9</v>
      </c>
      <c r="E16" s="9">
        <v>168.9</v>
      </c>
      <c r="F16" s="9">
        <v>32.299999999999997</v>
      </c>
      <c r="G16" s="9">
        <v>48.2</v>
      </c>
      <c r="H16" s="9">
        <v>18.7</v>
      </c>
      <c r="I16" s="9">
        <v>192</v>
      </c>
      <c r="J16" s="9">
        <v>92.8</v>
      </c>
      <c r="K16" s="10">
        <v>3.49</v>
      </c>
      <c r="L16" s="10">
        <v>3.81</v>
      </c>
      <c r="M16" s="9">
        <v>365.5</v>
      </c>
      <c r="N16" s="9">
        <v>263.89999999999998</v>
      </c>
    </row>
    <row r="17" spans="1:14" ht="15" customHeight="1" x14ac:dyDescent="0.35">
      <c r="A17" s="8" t="s">
        <v>28</v>
      </c>
      <c r="B17" s="8" t="s">
        <v>44</v>
      </c>
      <c r="C17" s="8" t="s">
        <v>45</v>
      </c>
      <c r="D17" s="9">
        <v>112.9</v>
      </c>
      <c r="E17" s="9">
        <v>33.1</v>
      </c>
      <c r="F17" s="9">
        <v>15.9</v>
      </c>
      <c r="G17" s="9">
        <v>22.4</v>
      </c>
      <c r="H17" s="9">
        <v>13.3</v>
      </c>
      <c r="I17" s="9">
        <v>79.8</v>
      </c>
      <c r="J17" s="9">
        <v>28.2</v>
      </c>
      <c r="K17" s="10">
        <v>4.74</v>
      </c>
      <c r="L17" s="10">
        <v>3.28</v>
      </c>
      <c r="M17" s="9">
        <v>115.7</v>
      </c>
      <c r="N17" s="9">
        <v>81.8</v>
      </c>
    </row>
    <row r="18" spans="1:14" ht="15" customHeight="1" x14ac:dyDescent="0.35">
      <c r="A18" s="8" t="s">
        <v>28</v>
      </c>
      <c r="B18" s="8" t="s">
        <v>44</v>
      </c>
      <c r="C18" s="8" t="s">
        <v>46</v>
      </c>
      <c r="D18" s="9">
        <v>77.599999999999994</v>
      </c>
      <c r="E18" s="9">
        <v>24.4</v>
      </c>
      <c r="F18" s="9">
        <v>10.4</v>
      </c>
      <c r="G18" s="9">
        <v>15.2</v>
      </c>
      <c r="H18" s="9">
        <v>9.3000000000000007</v>
      </c>
      <c r="I18" s="9">
        <v>53.2</v>
      </c>
      <c r="J18" s="9">
        <v>18.3</v>
      </c>
      <c r="K18" s="10">
        <v>6.3</v>
      </c>
      <c r="L18" s="10">
        <v>3</v>
      </c>
      <c r="M18" s="9">
        <v>81.599999999999994</v>
      </c>
      <c r="N18" s="9">
        <v>61.9</v>
      </c>
    </row>
    <row r="19" spans="1:14" ht="15" customHeight="1" x14ac:dyDescent="0.35">
      <c r="A19" s="8" t="s">
        <v>28</v>
      </c>
      <c r="B19" s="8" t="s">
        <v>44</v>
      </c>
      <c r="C19" s="8" t="s">
        <v>47</v>
      </c>
      <c r="D19" s="9">
        <v>283.8</v>
      </c>
      <c r="E19" s="9">
        <v>87.7</v>
      </c>
      <c r="F19" s="9">
        <v>39</v>
      </c>
      <c r="G19" s="9">
        <v>57.6</v>
      </c>
      <c r="H19" s="9">
        <v>34.5</v>
      </c>
      <c r="I19" s="9">
        <v>196.1</v>
      </c>
      <c r="J19" s="9">
        <v>65</v>
      </c>
      <c r="K19" s="10">
        <v>5.56</v>
      </c>
      <c r="L19" s="10">
        <v>2.89</v>
      </c>
      <c r="M19" s="9">
        <v>305.10000000000002</v>
      </c>
      <c r="N19" s="9">
        <v>217.7</v>
      </c>
    </row>
    <row r="20" spans="1:14" ht="15" customHeight="1" x14ac:dyDescent="0.35">
      <c r="A20" s="8" t="s">
        <v>28</v>
      </c>
      <c r="B20" s="8" t="s">
        <v>44</v>
      </c>
      <c r="C20" s="8" t="s">
        <v>48</v>
      </c>
      <c r="D20" s="9">
        <v>131.30000000000001</v>
      </c>
      <c r="E20" s="9">
        <v>37.6</v>
      </c>
      <c r="F20" s="9">
        <v>18.899999999999999</v>
      </c>
      <c r="G20" s="9">
        <v>26.7</v>
      </c>
      <c r="H20" s="9">
        <v>15</v>
      </c>
      <c r="I20" s="9">
        <v>93.7</v>
      </c>
      <c r="J20" s="9">
        <v>33.1</v>
      </c>
      <c r="K20" s="10">
        <v>5.52</v>
      </c>
      <c r="L20" s="10">
        <v>2.99</v>
      </c>
      <c r="M20" s="9">
        <v>137.5</v>
      </c>
      <c r="N20" s="9">
        <v>96.2</v>
      </c>
    </row>
    <row r="21" spans="1:14" ht="15" customHeight="1" x14ac:dyDescent="0.35">
      <c r="A21" s="8" t="s">
        <v>49</v>
      </c>
      <c r="B21" s="8" t="s">
        <v>29</v>
      </c>
      <c r="C21" s="8" t="s">
        <v>30</v>
      </c>
      <c r="D21" s="9">
        <v>122.1</v>
      </c>
      <c r="E21" s="9">
        <v>52.4</v>
      </c>
      <c r="F21" s="9">
        <v>13.2</v>
      </c>
      <c r="G21" s="9">
        <v>17.2</v>
      </c>
      <c r="H21" s="9">
        <v>3.7</v>
      </c>
      <c r="I21" s="9">
        <v>69.7</v>
      </c>
      <c r="J21" s="9">
        <v>35.6</v>
      </c>
      <c r="K21" s="10">
        <v>2.95</v>
      </c>
      <c r="L21" s="10">
        <v>3.79</v>
      </c>
      <c r="M21" s="9">
        <v>132.4</v>
      </c>
      <c r="N21" s="9">
        <v>91.7</v>
      </c>
    </row>
    <row r="22" spans="1:14" ht="15" customHeight="1" x14ac:dyDescent="0.35">
      <c r="A22" s="8" t="s">
        <v>49</v>
      </c>
      <c r="B22" s="8" t="s">
        <v>29</v>
      </c>
      <c r="C22" s="8" t="s">
        <v>31</v>
      </c>
      <c r="D22" s="9">
        <v>448.3</v>
      </c>
      <c r="E22" s="9">
        <v>185.9</v>
      </c>
      <c r="F22" s="9">
        <v>43.8</v>
      </c>
      <c r="G22" s="9">
        <v>64.099999999999994</v>
      </c>
      <c r="H22" s="9">
        <v>14</v>
      </c>
      <c r="I22" s="9">
        <v>262.39999999999998</v>
      </c>
      <c r="J22" s="9">
        <v>140.6</v>
      </c>
      <c r="K22" s="10">
        <v>3.57</v>
      </c>
      <c r="L22" s="10">
        <v>4.4800000000000004</v>
      </c>
      <c r="M22" s="9">
        <v>469</v>
      </c>
      <c r="N22" s="9">
        <v>298.2</v>
      </c>
    </row>
    <row r="23" spans="1:14" ht="15" customHeight="1" x14ac:dyDescent="0.35">
      <c r="A23" s="8" t="s">
        <v>49</v>
      </c>
      <c r="B23" s="8" t="s">
        <v>29</v>
      </c>
      <c r="C23" s="8" t="s">
        <v>32</v>
      </c>
      <c r="D23" s="9">
        <v>130.6</v>
      </c>
      <c r="E23" s="9">
        <v>57.5</v>
      </c>
      <c r="F23" s="9">
        <v>13.5</v>
      </c>
      <c r="G23" s="9">
        <v>17.7</v>
      </c>
      <c r="H23" s="9">
        <v>3.8</v>
      </c>
      <c r="I23" s="9">
        <v>73.099999999999994</v>
      </c>
      <c r="J23" s="9">
        <v>38.1</v>
      </c>
      <c r="K23" s="10">
        <v>3.36</v>
      </c>
      <c r="L23" s="10">
        <v>3.7</v>
      </c>
      <c r="M23" s="9">
        <v>127.2</v>
      </c>
      <c r="N23" s="9">
        <v>94.4</v>
      </c>
    </row>
    <row r="24" spans="1:14" ht="15" customHeight="1" x14ac:dyDescent="0.35">
      <c r="A24" s="8" t="s">
        <v>49</v>
      </c>
      <c r="B24" s="8" t="s">
        <v>29</v>
      </c>
      <c r="C24" s="8" t="s">
        <v>33</v>
      </c>
      <c r="D24" s="9">
        <v>185.8</v>
      </c>
      <c r="E24" s="9">
        <v>79.7</v>
      </c>
      <c r="F24" s="9">
        <v>17.600000000000001</v>
      </c>
      <c r="G24" s="9">
        <v>26.5</v>
      </c>
      <c r="H24" s="9">
        <v>5.4</v>
      </c>
      <c r="I24" s="9">
        <v>106.1</v>
      </c>
      <c r="J24" s="9">
        <v>56.5</v>
      </c>
      <c r="K24" s="10">
        <v>3.03</v>
      </c>
      <c r="L24" s="10">
        <v>4.45</v>
      </c>
      <c r="M24" s="9">
        <v>194.7</v>
      </c>
      <c r="N24" s="9">
        <v>136.30000000000001</v>
      </c>
    </row>
    <row r="25" spans="1:14" ht="15" customHeight="1" x14ac:dyDescent="0.35">
      <c r="A25" s="8" t="s">
        <v>49</v>
      </c>
      <c r="B25" s="8" t="s">
        <v>34</v>
      </c>
      <c r="C25" s="8" t="s">
        <v>35</v>
      </c>
      <c r="D25" s="9">
        <v>454.9</v>
      </c>
      <c r="E25" s="9">
        <v>255.1</v>
      </c>
      <c r="F25" s="9">
        <v>39.1</v>
      </c>
      <c r="G25" s="9">
        <v>54.9</v>
      </c>
      <c r="H25" s="9">
        <v>18.3</v>
      </c>
      <c r="I25" s="9">
        <v>199.8</v>
      </c>
      <c r="J25" s="9">
        <v>87.5</v>
      </c>
      <c r="K25" s="10">
        <v>2.39</v>
      </c>
      <c r="L25" s="10">
        <v>5.0999999999999996</v>
      </c>
      <c r="M25" s="9">
        <v>481.5</v>
      </c>
      <c r="N25" s="9">
        <v>364</v>
      </c>
    </row>
    <row r="26" spans="1:14" ht="15" customHeight="1" x14ac:dyDescent="0.35">
      <c r="A26" s="8" t="s">
        <v>49</v>
      </c>
      <c r="B26" s="8" t="s">
        <v>34</v>
      </c>
      <c r="C26" s="8" t="s">
        <v>36</v>
      </c>
      <c r="D26" s="9">
        <v>623.20000000000005</v>
      </c>
      <c r="E26" s="9">
        <v>349.9</v>
      </c>
      <c r="F26" s="9">
        <v>46.8</v>
      </c>
      <c r="G26" s="9">
        <v>77.5</v>
      </c>
      <c r="H26" s="9">
        <v>26.1</v>
      </c>
      <c r="I26" s="9">
        <v>273.2</v>
      </c>
      <c r="J26" s="9">
        <v>122.9</v>
      </c>
      <c r="K26" s="10">
        <v>2.7</v>
      </c>
      <c r="L26" s="10">
        <v>5.33</v>
      </c>
      <c r="M26" s="9">
        <v>593.5</v>
      </c>
      <c r="N26" s="9">
        <v>531.29999999999995</v>
      </c>
    </row>
    <row r="27" spans="1:14" ht="15" customHeight="1" x14ac:dyDescent="0.35">
      <c r="A27" s="8" t="s">
        <v>49</v>
      </c>
      <c r="B27" s="8" t="s">
        <v>34</v>
      </c>
      <c r="C27" s="8" t="s">
        <v>37</v>
      </c>
      <c r="D27" s="9">
        <v>171</v>
      </c>
      <c r="E27" s="9">
        <v>99.4</v>
      </c>
      <c r="F27" s="9">
        <v>15.2</v>
      </c>
      <c r="G27" s="9">
        <v>21.1</v>
      </c>
      <c r="H27" s="9">
        <v>6.7</v>
      </c>
      <c r="I27" s="9">
        <v>71.7</v>
      </c>
      <c r="J27" s="9">
        <v>28.6</v>
      </c>
      <c r="K27" s="10">
        <v>2.3199999999999998</v>
      </c>
      <c r="L27" s="10">
        <v>5.96</v>
      </c>
      <c r="M27" s="9">
        <v>170.6</v>
      </c>
      <c r="N27" s="9">
        <v>139.4</v>
      </c>
    </row>
    <row r="28" spans="1:14" ht="15" customHeight="1" x14ac:dyDescent="0.35">
      <c r="A28" s="8" t="s">
        <v>49</v>
      </c>
      <c r="B28" s="8" t="s">
        <v>34</v>
      </c>
      <c r="C28" s="8" t="s">
        <v>38</v>
      </c>
      <c r="D28" s="9">
        <v>182.6</v>
      </c>
      <c r="E28" s="9">
        <v>105.8</v>
      </c>
      <c r="F28" s="9">
        <v>15.4</v>
      </c>
      <c r="G28" s="9">
        <v>22.1</v>
      </c>
      <c r="H28" s="9">
        <v>7</v>
      </c>
      <c r="I28" s="9">
        <v>76.900000000000006</v>
      </c>
      <c r="J28" s="9">
        <v>32.299999999999997</v>
      </c>
      <c r="K28" s="10">
        <v>2.48</v>
      </c>
      <c r="L28" s="10">
        <v>6.15</v>
      </c>
      <c r="M28" s="9">
        <v>177.4</v>
      </c>
      <c r="N28" s="9">
        <v>152.9</v>
      </c>
    </row>
    <row r="29" spans="1:14" ht="15" customHeight="1" x14ac:dyDescent="0.35">
      <c r="A29" s="8" t="s">
        <v>49</v>
      </c>
      <c r="B29" s="8" t="s">
        <v>39</v>
      </c>
      <c r="C29" s="8" t="s">
        <v>40</v>
      </c>
      <c r="D29" s="9">
        <v>409.6</v>
      </c>
      <c r="E29" s="9">
        <v>206.5</v>
      </c>
      <c r="F29" s="9">
        <v>37.299999999999997</v>
      </c>
      <c r="G29" s="9">
        <v>53.5</v>
      </c>
      <c r="H29" s="9">
        <v>21.1</v>
      </c>
      <c r="I29" s="9">
        <v>203.1</v>
      </c>
      <c r="J29" s="9">
        <v>91.1</v>
      </c>
      <c r="K29" s="10">
        <v>4.28</v>
      </c>
      <c r="L29" s="10">
        <v>3.98</v>
      </c>
      <c r="M29" s="9">
        <v>438</v>
      </c>
      <c r="N29" s="9">
        <v>336.9</v>
      </c>
    </row>
    <row r="30" spans="1:14" ht="15" customHeight="1" x14ac:dyDescent="0.35">
      <c r="A30" s="8" t="s">
        <v>49</v>
      </c>
      <c r="B30" s="8" t="s">
        <v>39</v>
      </c>
      <c r="C30" s="8" t="s">
        <v>41</v>
      </c>
      <c r="D30" s="9">
        <v>415.7</v>
      </c>
      <c r="E30" s="9">
        <v>197.8</v>
      </c>
      <c r="F30" s="9">
        <v>34.4</v>
      </c>
      <c r="G30" s="9">
        <v>54.6</v>
      </c>
      <c r="H30" s="9">
        <v>19.8</v>
      </c>
      <c r="I30" s="9">
        <v>217.9</v>
      </c>
      <c r="J30" s="9">
        <v>109</v>
      </c>
      <c r="K30" s="10">
        <v>4.0599999999999996</v>
      </c>
      <c r="L30" s="10">
        <v>3.84</v>
      </c>
      <c r="M30" s="9">
        <v>412.8</v>
      </c>
      <c r="N30" s="9">
        <v>314.3</v>
      </c>
    </row>
    <row r="31" spans="1:14" ht="15" customHeight="1" x14ac:dyDescent="0.35">
      <c r="A31" s="8" t="s">
        <v>49</v>
      </c>
      <c r="B31" s="8" t="s">
        <v>39</v>
      </c>
      <c r="C31" s="8" t="s">
        <v>42</v>
      </c>
      <c r="D31" s="9">
        <v>131.1</v>
      </c>
      <c r="E31" s="9">
        <v>60</v>
      </c>
      <c r="F31" s="9">
        <v>12.8</v>
      </c>
      <c r="G31" s="9">
        <v>17</v>
      </c>
      <c r="H31" s="9">
        <v>6.3</v>
      </c>
      <c r="I31" s="9">
        <v>71.099999999999994</v>
      </c>
      <c r="J31" s="9">
        <v>35</v>
      </c>
      <c r="K31" s="10">
        <v>4.13</v>
      </c>
      <c r="L31" s="10">
        <v>4.05</v>
      </c>
      <c r="M31" s="9">
        <v>128.80000000000001</v>
      </c>
      <c r="N31" s="9">
        <v>98.8</v>
      </c>
    </row>
    <row r="32" spans="1:14" ht="15" customHeight="1" x14ac:dyDescent="0.35">
      <c r="A32" s="8" t="s">
        <v>49</v>
      </c>
      <c r="B32" s="8" t="s">
        <v>39</v>
      </c>
      <c r="C32" s="8" t="s">
        <v>43</v>
      </c>
      <c r="D32" s="9">
        <v>176.5</v>
      </c>
      <c r="E32" s="9">
        <v>81</v>
      </c>
      <c r="F32" s="9">
        <v>16.2</v>
      </c>
      <c r="G32" s="9">
        <v>23.1</v>
      </c>
      <c r="H32" s="9">
        <v>8.9</v>
      </c>
      <c r="I32" s="9">
        <v>95.5</v>
      </c>
      <c r="J32" s="9">
        <v>47.3</v>
      </c>
      <c r="K32" s="10">
        <v>4.38</v>
      </c>
      <c r="L32" s="10">
        <v>4.2300000000000004</v>
      </c>
      <c r="M32" s="9">
        <v>181.4</v>
      </c>
      <c r="N32" s="9">
        <v>128.6</v>
      </c>
    </row>
    <row r="33" spans="1:14" ht="15" customHeight="1" x14ac:dyDescent="0.35">
      <c r="A33" s="8" t="s">
        <v>49</v>
      </c>
      <c r="B33" s="8" t="s">
        <v>44</v>
      </c>
      <c r="C33" s="8" t="s">
        <v>45</v>
      </c>
      <c r="D33" s="9">
        <v>84.1</v>
      </c>
      <c r="E33" s="9">
        <v>24.7</v>
      </c>
      <c r="F33" s="9">
        <v>12</v>
      </c>
      <c r="G33" s="9">
        <v>17.2</v>
      </c>
      <c r="H33" s="9">
        <v>10.3</v>
      </c>
      <c r="I33" s="9">
        <v>59.5</v>
      </c>
      <c r="J33" s="9">
        <v>20</v>
      </c>
      <c r="K33" s="10">
        <v>5.14</v>
      </c>
      <c r="L33" s="10">
        <v>3.55</v>
      </c>
      <c r="M33" s="9">
        <v>89.2</v>
      </c>
      <c r="N33" s="9">
        <v>65.5</v>
      </c>
    </row>
    <row r="34" spans="1:14" ht="15" customHeight="1" x14ac:dyDescent="0.35">
      <c r="A34" s="8" t="s">
        <v>49</v>
      </c>
      <c r="B34" s="8" t="s">
        <v>44</v>
      </c>
      <c r="C34" s="8" t="s">
        <v>46</v>
      </c>
      <c r="D34" s="9">
        <v>198.1</v>
      </c>
      <c r="E34" s="9">
        <v>59.2</v>
      </c>
      <c r="F34" s="9">
        <v>26.5</v>
      </c>
      <c r="G34" s="9">
        <v>39.4</v>
      </c>
      <c r="H34" s="9">
        <v>24.4</v>
      </c>
      <c r="I34" s="9">
        <v>138.9</v>
      </c>
      <c r="J34" s="9">
        <v>48.6</v>
      </c>
      <c r="K34" s="10">
        <v>4.7</v>
      </c>
      <c r="L34" s="10">
        <v>2.91</v>
      </c>
      <c r="M34" s="9">
        <v>189.6</v>
      </c>
      <c r="N34" s="9">
        <v>144.19999999999999</v>
      </c>
    </row>
    <row r="35" spans="1:14" ht="15" customHeight="1" x14ac:dyDescent="0.35">
      <c r="A35" s="8" t="s">
        <v>49</v>
      </c>
      <c r="B35" s="8" t="s">
        <v>44</v>
      </c>
      <c r="C35" s="8" t="s">
        <v>47</v>
      </c>
      <c r="D35" s="9">
        <v>174.9</v>
      </c>
      <c r="E35" s="9">
        <v>53.9</v>
      </c>
      <c r="F35" s="9">
        <v>24.6</v>
      </c>
      <c r="G35" s="9">
        <v>34.200000000000003</v>
      </c>
      <c r="H35" s="9">
        <v>21</v>
      </c>
      <c r="I35" s="9">
        <v>121</v>
      </c>
      <c r="J35" s="9">
        <v>41.3</v>
      </c>
      <c r="K35" s="10">
        <v>5.46</v>
      </c>
      <c r="L35" s="10">
        <v>2.95</v>
      </c>
      <c r="M35" s="9">
        <v>177.5</v>
      </c>
      <c r="N35" s="9">
        <v>134.19999999999999</v>
      </c>
    </row>
    <row r="36" spans="1:14" ht="15" customHeight="1" x14ac:dyDescent="0.35">
      <c r="A36" s="8" t="s">
        <v>49</v>
      </c>
      <c r="B36" s="8" t="s">
        <v>44</v>
      </c>
      <c r="C36" s="8" t="s">
        <v>48</v>
      </c>
      <c r="D36" s="9">
        <v>199.5</v>
      </c>
      <c r="E36" s="9">
        <v>61</v>
      </c>
      <c r="F36" s="9">
        <v>25.4</v>
      </c>
      <c r="G36" s="9">
        <v>39.700000000000003</v>
      </c>
      <c r="H36" s="9">
        <v>24.2</v>
      </c>
      <c r="I36" s="9">
        <v>138.4</v>
      </c>
      <c r="J36" s="9">
        <v>49.1</v>
      </c>
      <c r="K36" s="10">
        <v>5.51</v>
      </c>
      <c r="L36" s="10">
        <v>3.47</v>
      </c>
      <c r="M36" s="9">
        <v>209.2</v>
      </c>
      <c r="N36" s="9">
        <v>147.1</v>
      </c>
    </row>
    <row r="37" spans="1:14" ht="15" customHeight="1" x14ac:dyDescent="0.35">
      <c r="A37" s="8" t="s">
        <v>50</v>
      </c>
      <c r="B37" s="8" t="s">
        <v>29</v>
      </c>
      <c r="C37" s="8" t="s">
        <v>30</v>
      </c>
      <c r="D37" s="9">
        <v>268.60000000000002</v>
      </c>
      <c r="E37" s="9">
        <v>113.9</v>
      </c>
      <c r="F37" s="9">
        <v>29.7</v>
      </c>
      <c r="G37" s="9">
        <v>37.5</v>
      </c>
      <c r="H37" s="9">
        <v>8.4</v>
      </c>
      <c r="I37" s="9">
        <v>154.6</v>
      </c>
      <c r="J37" s="9">
        <v>79</v>
      </c>
      <c r="K37" s="10">
        <v>3.59</v>
      </c>
      <c r="L37" s="10">
        <v>3.89</v>
      </c>
      <c r="M37" s="9">
        <v>257.89999999999998</v>
      </c>
      <c r="N37" s="9">
        <v>184.1</v>
      </c>
    </row>
    <row r="38" spans="1:14" ht="15" customHeight="1" x14ac:dyDescent="0.35">
      <c r="A38" s="8" t="s">
        <v>50</v>
      </c>
      <c r="B38" s="8" t="s">
        <v>29</v>
      </c>
      <c r="C38" s="8" t="s">
        <v>31</v>
      </c>
      <c r="D38" s="9">
        <v>161.80000000000001</v>
      </c>
      <c r="E38" s="9">
        <v>65.3</v>
      </c>
      <c r="F38" s="9">
        <v>17</v>
      </c>
      <c r="G38" s="9">
        <v>22.1</v>
      </c>
      <c r="H38" s="9">
        <v>4.8</v>
      </c>
      <c r="I38" s="9">
        <v>96.5</v>
      </c>
      <c r="J38" s="9">
        <v>52.7</v>
      </c>
      <c r="K38" s="10">
        <v>3.53</v>
      </c>
      <c r="L38" s="10">
        <v>3.72</v>
      </c>
      <c r="M38" s="9">
        <v>173.5</v>
      </c>
      <c r="N38" s="9">
        <v>108.1</v>
      </c>
    </row>
    <row r="39" spans="1:14" ht="15" customHeight="1" x14ac:dyDescent="0.35">
      <c r="A39" s="8" t="s">
        <v>50</v>
      </c>
      <c r="B39" s="8" t="s">
        <v>29</v>
      </c>
      <c r="C39" s="8" t="s">
        <v>32</v>
      </c>
      <c r="D39" s="9">
        <v>243</v>
      </c>
      <c r="E39" s="9">
        <v>104.8</v>
      </c>
      <c r="F39" s="9">
        <v>25.2</v>
      </c>
      <c r="G39" s="9">
        <v>35.1</v>
      </c>
      <c r="H39" s="9">
        <v>7.5</v>
      </c>
      <c r="I39" s="9">
        <v>138.19999999999999</v>
      </c>
      <c r="J39" s="9">
        <v>70.5</v>
      </c>
      <c r="K39" s="10">
        <v>3.49</v>
      </c>
      <c r="L39" s="10">
        <v>3.98</v>
      </c>
      <c r="M39" s="9">
        <v>237.4</v>
      </c>
      <c r="N39" s="9">
        <v>179.9</v>
      </c>
    </row>
    <row r="40" spans="1:14" ht="15" customHeight="1" x14ac:dyDescent="0.35">
      <c r="A40" s="8" t="s">
        <v>50</v>
      </c>
      <c r="B40" s="8" t="s">
        <v>29</v>
      </c>
      <c r="C40" s="8" t="s">
        <v>33</v>
      </c>
      <c r="D40" s="9">
        <v>355.2</v>
      </c>
      <c r="E40" s="9">
        <v>158</v>
      </c>
      <c r="F40" s="9">
        <v>35.200000000000003</v>
      </c>
      <c r="G40" s="9">
        <v>49.5</v>
      </c>
      <c r="H40" s="9">
        <v>11</v>
      </c>
      <c r="I40" s="9">
        <v>197.2</v>
      </c>
      <c r="J40" s="9">
        <v>101.6</v>
      </c>
      <c r="K40" s="10">
        <v>3.05</v>
      </c>
      <c r="L40" s="10">
        <v>4.63</v>
      </c>
      <c r="M40" s="9">
        <v>383.2</v>
      </c>
      <c r="N40" s="9">
        <v>255.5</v>
      </c>
    </row>
    <row r="41" spans="1:14" ht="15" customHeight="1" x14ac:dyDescent="0.35">
      <c r="A41" s="8" t="s">
        <v>50</v>
      </c>
      <c r="B41" s="8" t="s">
        <v>34</v>
      </c>
      <c r="C41" s="8" t="s">
        <v>35</v>
      </c>
      <c r="D41" s="9">
        <v>432.1</v>
      </c>
      <c r="E41" s="9">
        <v>226</v>
      </c>
      <c r="F41" s="9">
        <v>38</v>
      </c>
      <c r="G41" s="9">
        <v>50.6</v>
      </c>
      <c r="H41" s="9">
        <v>17</v>
      </c>
      <c r="I41" s="9">
        <v>206</v>
      </c>
      <c r="J41" s="9">
        <v>100.4</v>
      </c>
      <c r="K41" s="10">
        <v>2.72</v>
      </c>
      <c r="L41" s="10">
        <v>6.09</v>
      </c>
      <c r="M41" s="9">
        <v>447.6</v>
      </c>
      <c r="N41" s="9">
        <v>341.4</v>
      </c>
    </row>
    <row r="42" spans="1:14" ht="15" customHeight="1" x14ac:dyDescent="0.35">
      <c r="A42" s="8" t="s">
        <v>50</v>
      </c>
      <c r="B42" s="8" t="s">
        <v>34</v>
      </c>
      <c r="C42" s="8" t="s">
        <v>36</v>
      </c>
      <c r="D42" s="9">
        <v>433.9</v>
      </c>
      <c r="E42" s="9">
        <v>234.4</v>
      </c>
      <c r="F42" s="9">
        <v>33.700000000000003</v>
      </c>
      <c r="G42" s="9">
        <v>53</v>
      </c>
      <c r="H42" s="9">
        <v>17.8</v>
      </c>
      <c r="I42" s="9">
        <v>199.5</v>
      </c>
      <c r="J42" s="9">
        <v>95</v>
      </c>
      <c r="K42" s="10">
        <v>2.61</v>
      </c>
      <c r="L42" s="10">
        <v>5.88</v>
      </c>
      <c r="M42" s="9">
        <v>418.1</v>
      </c>
      <c r="N42" s="9">
        <v>343.8</v>
      </c>
    </row>
    <row r="43" spans="1:14" ht="15" customHeight="1" x14ac:dyDescent="0.35">
      <c r="A43" s="8" t="s">
        <v>50</v>
      </c>
      <c r="B43" s="8" t="s">
        <v>34</v>
      </c>
      <c r="C43" s="8" t="s">
        <v>37</v>
      </c>
      <c r="D43" s="9">
        <v>505</v>
      </c>
      <c r="E43" s="9">
        <v>280.7</v>
      </c>
      <c r="F43" s="9">
        <v>40.299999999999997</v>
      </c>
      <c r="G43" s="9">
        <v>62.5</v>
      </c>
      <c r="H43" s="9">
        <v>19.899999999999999</v>
      </c>
      <c r="I43" s="9">
        <v>224.4</v>
      </c>
      <c r="J43" s="9">
        <v>101.6</v>
      </c>
      <c r="K43" s="10">
        <v>2.12</v>
      </c>
      <c r="L43" s="10">
        <v>5.03</v>
      </c>
      <c r="M43" s="9">
        <v>537.5</v>
      </c>
      <c r="N43" s="9">
        <v>414.7</v>
      </c>
    </row>
    <row r="44" spans="1:14" ht="15" customHeight="1" x14ac:dyDescent="0.35">
      <c r="A44" s="8" t="s">
        <v>50</v>
      </c>
      <c r="B44" s="8" t="s">
        <v>34</v>
      </c>
      <c r="C44" s="8" t="s">
        <v>38</v>
      </c>
      <c r="D44" s="9">
        <v>278.3</v>
      </c>
      <c r="E44" s="9">
        <v>146.80000000000001</v>
      </c>
      <c r="F44" s="9">
        <v>23.5</v>
      </c>
      <c r="G44" s="9">
        <v>32.6</v>
      </c>
      <c r="H44" s="9">
        <v>11.5</v>
      </c>
      <c r="I44" s="9">
        <v>131.5</v>
      </c>
      <c r="J44" s="9">
        <v>63.9</v>
      </c>
      <c r="K44" s="10">
        <v>2.5499999999999998</v>
      </c>
      <c r="L44" s="10">
        <v>4.95</v>
      </c>
      <c r="M44" s="9">
        <v>267.89999999999998</v>
      </c>
      <c r="N44" s="9">
        <v>229</v>
      </c>
    </row>
    <row r="45" spans="1:14" ht="15" customHeight="1" x14ac:dyDescent="0.35">
      <c r="A45" s="8" t="s">
        <v>50</v>
      </c>
      <c r="B45" s="8" t="s">
        <v>39</v>
      </c>
      <c r="C45" s="8" t="s">
        <v>40</v>
      </c>
      <c r="D45" s="9">
        <v>231.4</v>
      </c>
      <c r="E45" s="9">
        <v>116.6</v>
      </c>
      <c r="F45" s="9">
        <v>19.3</v>
      </c>
      <c r="G45" s="9">
        <v>30.2</v>
      </c>
      <c r="H45" s="9">
        <v>11</v>
      </c>
      <c r="I45" s="9">
        <v>114.8</v>
      </c>
      <c r="J45" s="9">
        <v>54.3</v>
      </c>
      <c r="K45" s="10">
        <v>4.0599999999999996</v>
      </c>
      <c r="L45" s="10">
        <v>3.4</v>
      </c>
      <c r="M45" s="9">
        <v>224</v>
      </c>
      <c r="N45" s="9">
        <v>172.3</v>
      </c>
    </row>
    <row r="46" spans="1:14" ht="15" customHeight="1" x14ac:dyDescent="0.35">
      <c r="A46" s="8" t="s">
        <v>50</v>
      </c>
      <c r="B46" s="8" t="s">
        <v>39</v>
      </c>
      <c r="C46" s="8" t="s">
        <v>41</v>
      </c>
      <c r="D46" s="9">
        <v>246.7</v>
      </c>
      <c r="E46" s="9">
        <v>122.2</v>
      </c>
      <c r="F46" s="9">
        <v>22.8</v>
      </c>
      <c r="G46" s="9">
        <v>33.299999999999997</v>
      </c>
      <c r="H46" s="9">
        <v>12.2</v>
      </c>
      <c r="I46" s="9">
        <v>124.5</v>
      </c>
      <c r="J46" s="9">
        <v>56.2</v>
      </c>
      <c r="K46" s="10">
        <v>3.84</v>
      </c>
      <c r="L46" s="10">
        <v>4.1399999999999997</v>
      </c>
      <c r="M46" s="9">
        <v>242.6</v>
      </c>
      <c r="N46" s="9">
        <v>203.1</v>
      </c>
    </row>
    <row r="47" spans="1:14" ht="15" customHeight="1" x14ac:dyDescent="0.35">
      <c r="A47" s="8" t="s">
        <v>50</v>
      </c>
      <c r="B47" s="8" t="s">
        <v>39</v>
      </c>
      <c r="C47" s="8" t="s">
        <v>42</v>
      </c>
      <c r="D47" s="9">
        <v>345.7</v>
      </c>
      <c r="E47" s="9">
        <v>175.4</v>
      </c>
      <c r="F47" s="9">
        <v>28.3</v>
      </c>
      <c r="G47" s="9">
        <v>46.4</v>
      </c>
      <c r="H47" s="9">
        <v>17.3</v>
      </c>
      <c r="I47" s="9">
        <v>170.4</v>
      </c>
      <c r="J47" s="9">
        <v>78.3</v>
      </c>
      <c r="K47" s="10">
        <v>4.71</v>
      </c>
      <c r="L47" s="10">
        <v>3.41</v>
      </c>
      <c r="M47" s="9">
        <v>357.2</v>
      </c>
      <c r="N47" s="9">
        <v>285.2</v>
      </c>
    </row>
    <row r="48" spans="1:14" ht="15" customHeight="1" x14ac:dyDescent="0.35">
      <c r="A48" s="8" t="s">
        <v>50</v>
      </c>
      <c r="B48" s="8" t="s">
        <v>39</v>
      </c>
      <c r="C48" s="8" t="s">
        <v>43</v>
      </c>
      <c r="D48" s="9">
        <v>501.6</v>
      </c>
      <c r="E48" s="9">
        <v>245.4</v>
      </c>
      <c r="F48" s="9">
        <v>47.5</v>
      </c>
      <c r="G48" s="9">
        <v>65.3</v>
      </c>
      <c r="H48" s="9">
        <v>25.4</v>
      </c>
      <c r="I48" s="9">
        <v>256.2</v>
      </c>
      <c r="J48" s="9">
        <v>117.9</v>
      </c>
      <c r="K48" s="10">
        <v>4.2</v>
      </c>
      <c r="L48" s="10">
        <v>4.17</v>
      </c>
      <c r="M48" s="9">
        <v>479.9</v>
      </c>
      <c r="N48" s="9">
        <v>380.2</v>
      </c>
    </row>
    <row r="49" spans="1:14" ht="15" customHeight="1" x14ac:dyDescent="0.35">
      <c r="A49" s="8" t="s">
        <v>50</v>
      </c>
      <c r="B49" s="8" t="s">
        <v>44</v>
      </c>
      <c r="C49" s="8" t="s">
        <v>45</v>
      </c>
      <c r="D49" s="9">
        <v>505.2</v>
      </c>
      <c r="E49" s="9">
        <v>160.4</v>
      </c>
      <c r="F49" s="9">
        <v>74.5</v>
      </c>
      <c r="G49" s="9">
        <v>101.8</v>
      </c>
      <c r="H49" s="9">
        <v>59.5</v>
      </c>
      <c r="I49" s="9">
        <v>344.8</v>
      </c>
      <c r="J49" s="9">
        <v>109</v>
      </c>
      <c r="K49" s="10">
        <v>6.02</v>
      </c>
      <c r="L49" s="10">
        <v>3.34</v>
      </c>
      <c r="M49" s="9">
        <v>492.3</v>
      </c>
      <c r="N49" s="9">
        <v>420.1</v>
      </c>
    </row>
    <row r="50" spans="1:14" ht="15" customHeight="1" x14ac:dyDescent="0.35">
      <c r="A50" s="8" t="s">
        <v>50</v>
      </c>
      <c r="B50" s="8" t="s">
        <v>44</v>
      </c>
      <c r="C50" s="8" t="s">
        <v>46</v>
      </c>
      <c r="D50" s="9">
        <v>118.9</v>
      </c>
      <c r="E50" s="9">
        <v>37.6</v>
      </c>
      <c r="F50" s="9">
        <v>17.600000000000001</v>
      </c>
      <c r="G50" s="9">
        <v>24.1</v>
      </c>
      <c r="H50" s="9">
        <v>14.2</v>
      </c>
      <c r="I50" s="9">
        <v>81.3</v>
      </c>
      <c r="J50" s="9">
        <v>25.4</v>
      </c>
      <c r="K50" s="10">
        <v>6.21</v>
      </c>
      <c r="L50" s="10">
        <v>3.48</v>
      </c>
      <c r="M50" s="9">
        <v>113.8</v>
      </c>
      <c r="N50" s="9">
        <v>90</v>
      </c>
    </row>
    <row r="51" spans="1:14" ht="15" customHeight="1" x14ac:dyDescent="0.35">
      <c r="A51" s="8" t="s">
        <v>50</v>
      </c>
      <c r="B51" s="8" t="s">
        <v>44</v>
      </c>
      <c r="C51" s="8" t="s">
        <v>47</v>
      </c>
      <c r="D51" s="9">
        <v>43.7</v>
      </c>
      <c r="E51" s="9">
        <v>13.6</v>
      </c>
      <c r="F51" s="9">
        <v>6.8</v>
      </c>
      <c r="G51" s="9">
        <v>8.6</v>
      </c>
      <c r="H51" s="9">
        <v>5.3</v>
      </c>
      <c r="I51" s="9">
        <v>30.1</v>
      </c>
      <c r="J51" s="9">
        <v>9.4</v>
      </c>
      <c r="K51" s="10">
        <v>5.3</v>
      </c>
      <c r="L51" s="10">
        <v>3.56</v>
      </c>
      <c r="M51" s="9">
        <v>47.1</v>
      </c>
      <c r="N51" s="9">
        <v>36.1</v>
      </c>
    </row>
    <row r="52" spans="1:14" ht="15" customHeight="1" x14ac:dyDescent="0.35">
      <c r="A52" s="8" t="s">
        <v>50</v>
      </c>
      <c r="B52" s="8" t="s">
        <v>44</v>
      </c>
      <c r="C52" s="8" t="s">
        <v>48</v>
      </c>
      <c r="D52" s="9">
        <v>132.9</v>
      </c>
      <c r="E52" s="9">
        <v>39.700000000000003</v>
      </c>
      <c r="F52" s="9">
        <v>17.899999999999999</v>
      </c>
      <c r="G52" s="9">
        <v>25.9</v>
      </c>
      <c r="H52" s="9">
        <v>16.5</v>
      </c>
      <c r="I52" s="9">
        <v>93.2</v>
      </c>
      <c r="J52" s="9">
        <v>32.9</v>
      </c>
      <c r="K52" s="10">
        <v>6.02</v>
      </c>
      <c r="L52" s="10">
        <v>3.58</v>
      </c>
      <c r="M52" s="9">
        <v>146.19999999999999</v>
      </c>
      <c r="N52" s="9">
        <v>102.1</v>
      </c>
    </row>
    <row r="53" spans="1:14" ht="15" customHeight="1" x14ac:dyDescent="0.35">
      <c r="A53" s="8" t="s">
        <v>51</v>
      </c>
      <c r="B53" s="8" t="s">
        <v>29</v>
      </c>
      <c r="C53" s="8" t="s">
        <v>30</v>
      </c>
      <c r="D53" s="9">
        <v>194.8</v>
      </c>
      <c r="E53" s="9">
        <v>80.900000000000006</v>
      </c>
      <c r="F53" s="9">
        <v>18</v>
      </c>
      <c r="G53" s="9">
        <v>27.7</v>
      </c>
      <c r="H53" s="9">
        <v>5.9</v>
      </c>
      <c r="I53" s="9">
        <v>113.8</v>
      </c>
      <c r="J53" s="9">
        <v>62.2</v>
      </c>
      <c r="K53" s="10">
        <v>3.46</v>
      </c>
      <c r="L53" s="10">
        <v>4.22</v>
      </c>
      <c r="M53" s="9">
        <v>209.9</v>
      </c>
      <c r="N53" s="9">
        <v>135.30000000000001</v>
      </c>
    </row>
    <row r="54" spans="1:14" ht="15" customHeight="1" x14ac:dyDescent="0.35">
      <c r="A54" s="8" t="s">
        <v>51</v>
      </c>
      <c r="B54" s="8" t="s">
        <v>29</v>
      </c>
      <c r="C54" s="8" t="s">
        <v>31</v>
      </c>
      <c r="D54" s="9">
        <v>335.7</v>
      </c>
      <c r="E54" s="9">
        <v>147.6</v>
      </c>
      <c r="F54" s="9">
        <v>33.200000000000003</v>
      </c>
      <c r="G54" s="9">
        <v>46</v>
      </c>
      <c r="H54" s="9">
        <v>9.6</v>
      </c>
      <c r="I54" s="9">
        <v>188.2</v>
      </c>
      <c r="J54" s="9">
        <v>99.3</v>
      </c>
      <c r="K54" s="10">
        <v>3.44</v>
      </c>
      <c r="L54" s="10">
        <v>4.32</v>
      </c>
      <c r="M54" s="9">
        <v>354.4</v>
      </c>
      <c r="N54" s="9">
        <v>232.5</v>
      </c>
    </row>
    <row r="55" spans="1:14" ht="15" customHeight="1" x14ac:dyDescent="0.35">
      <c r="A55" s="8" t="s">
        <v>51</v>
      </c>
      <c r="B55" s="8" t="s">
        <v>29</v>
      </c>
      <c r="C55" s="8" t="s">
        <v>32</v>
      </c>
      <c r="D55" s="9">
        <v>244.7</v>
      </c>
      <c r="E55" s="9">
        <v>97.8</v>
      </c>
      <c r="F55" s="9">
        <v>23.9</v>
      </c>
      <c r="G55" s="9">
        <v>34.6</v>
      </c>
      <c r="H55" s="9">
        <v>7.3</v>
      </c>
      <c r="I55" s="9">
        <v>146.9</v>
      </c>
      <c r="J55" s="9">
        <v>81.099999999999994</v>
      </c>
      <c r="K55" s="10">
        <v>3.14</v>
      </c>
      <c r="L55" s="10">
        <v>4.6100000000000003</v>
      </c>
      <c r="M55" s="9">
        <v>245.2</v>
      </c>
      <c r="N55" s="9">
        <v>166.3</v>
      </c>
    </row>
    <row r="56" spans="1:14" ht="15" customHeight="1" x14ac:dyDescent="0.35">
      <c r="A56" s="8" t="s">
        <v>51</v>
      </c>
      <c r="B56" s="8" t="s">
        <v>29</v>
      </c>
      <c r="C56" s="8" t="s">
        <v>33</v>
      </c>
      <c r="D56" s="9">
        <v>330.1</v>
      </c>
      <c r="E56" s="9">
        <v>137.80000000000001</v>
      </c>
      <c r="F56" s="9">
        <v>34.200000000000003</v>
      </c>
      <c r="G56" s="9">
        <v>47.6</v>
      </c>
      <c r="H56" s="9">
        <v>10.3</v>
      </c>
      <c r="I56" s="9">
        <v>192.4</v>
      </c>
      <c r="J56" s="9">
        <v>100.2</v>
      </c>
      <c r="K56" s="10">
        <v>2.86</v>
      </c>
      <c r="L56" s="10">
        <v>4.63</v>
      </c>
      <c r="M56" s="9">
        <v>338</v>
      </c>
      <c r="N56" s="9">
        <v>227.3</v>
      </c>
    </row>
    <row r="57" spans="1:14" ht="15" customHeight="1" x14ac:dyDescent="0.35">
      <c r="A57" s="8" t="s">
        <v>51</v>
      </c>
      <c r="B57" s="8" t="s">
        <v>34</v>
      </c>
      <c r="C57" s="8" t="s">
        <v>35</v>
      </c>
      <c r="D57" s="9">
        <v>510.4</v>
      </c>
      <c r="E57" s="9">
        <v>271.39999999999998</v>
      </c>
      <c r="F57" s="9">
        <v>38</v>
      </c>
      <c r="G57" s="9">
        <v>62.2</v>
      </c>
      <c r="H57" s="9">
        <v>19.8</v>
      </c>
      <c r="I57" s="9">
        <v>239</v>
      </c>
      <c r="J57" s="9">
        <v>119.1</v>
      </c>
      <c r="K57" s="10">
        <v>2.29</v>
      </c>
      <c r="L57" s="10">
        <v>6.02</v>
      </c>
      <c r="M57" s="9">
        <v>521.1</v>
      </c>
      <c r="N57" s="9">
        <v>404.4</v>
      </c>
    </row>
    <row r="58" spans="1:14" ht="15" customHeight="1" x14ac:dyDescent="0.35">
      <c r="A58" s="8" t="s">
        <v>51</v>
      </c>
      <c r="B58" s="8" t="s">
        <v>34</v>
      </c>
      <c r="C58" s="8" t="s">
        <v>36</v>
      </c>
      <c r="D58" s="9">
        <v>416.3</v>
      </c>
      <c r="E58" s="9">
        <v>222.4</v>
      </c>
      <c r="F58" s="9">
        <v>30.3</v>
      </c>
      <c r="G58" s="9">
        <v>49</v>
      </c>
      <c r="H58" s="9">
        <v>16.3</v>
      </c>
      <c r="I58" s="9">
        <v>193.9</v>
      </c>
      <c r="J58" s="9">
        <v>98.3</v>
      </c>
      <c r="K58" s="10">
        <v>2.17</v>
      </c>
      <c r="L58" s="10">
        <v>4.96</v>
      </c>
      <c r="M58" s="9">
        <v>403</v>
      </c>
      <c r="N58" s="9">
        <v>321.39999999999998</v>
      </c>
    </row>
    <row r="59" spans="1:14" ht="15" customHeight="1" x14ac:dyDescent="0.35">
      <c r="A59" s="8" t="s">
        <v>51</v>
      </c>
      <c r="B59" s="8" t="s">
        <v>34</v>
      </c>
      <c r="C59" s="8" t="s">
        <v>37</v>
      </c>
      <c r="D59" s="9">
        <v>196.7</v>
      </c>
      <c r="E59" s="9">
        <v>107.1</v>
      </c>
      <c r="F59" s="9">
        <v>15.9</v>
      </c>
      <c r="G59" s="9">
        <v>24</v>
      </c>
      <c r="H59" s="9">
        <v>7.5</v>
      </c>
      <c r="I59" s="9">
        <v>89.6</v>
      </c>
      <c r="J59" s="9">
        <v>42.1</v>
      </c>
      <c r="K59" s="10">
        <v>2.62</v>
      </c>
      <c r="L59" s="10">
        <v>5.67</v>
      </c>
      <c r="M59" s="9">
        <v>189.2</v>
      </c>
      <c r="N59" s="9">
        <v>163.19999999999999</v>
      </c>
    </row>
    <row r="60" spans="1:14" ht="15" customHeight="1" x14ac:dyDescent="0.35">
      <c r="A60" s="8" t="s">
        <v>51</v>
      </c>
      <c r="B60" s="8" t="s">
        <v>34</v>
      </c>
      <c r="C60" s="8" t="s">
        <v>38</v>
      </c>
      <c r="D60" s="9">
        <v>664</v>
      </c>
      <c r="E60" s="9">
        <v>349.4</v>
      </c>
      <c r="F60" s="9">
        <v>51</v>
      </c>
      <c r="G60" s="9">
        <v>81.8</v>
      </c>
      <c r="H60" s="9">
        <v>27.2</v>
      </c>
      <c r="I60" s="9">
        <v>314.60000000000002</v>
      </c>
      <c r="J60" s="9">
        <v>154.6</v>
      </c>
      <c r="K60" s="10">
        <v>2.17</v>
      </c>
      <c r="L60" s="10">
        <v>5.12</v>
      </c>
      <c r="M60" s="9">
        <v>667.7</v>
      </c>
      <c r="N60" s="9">
        <v>516.20000000000005</v>
      </c>
    </row>
    <row r="61" spans="1:14" ht="15" customHeight="1" x14ac:dyDescent="0.35">
      <c r="A61" s="8" t="s">
        <v>51</v>
      </c>
      <c r="B61" s="8" t="s">
        <v>39</v>
      </c>
      <c r="C61" s="8" t="s">
        <v>40</v>
      </c>
      <c r="D61" s="9">
        <v>110.8</v>
      </c>
      <c r="E61" s="9">
        <v>53.2</v>
      </c>
      <c r="F61" s="9">
        <v>10.1</v>
      </c>
      <c r="G61" s="9">
        <v>14.2</v>
      </c>
      <c r="H61" s="9">
        <v>5.4</v>
      </c>
      <c r="I61" s="9">
        <v>57.7</v>
      </c>
      <c r="J61" s="9">
        <v>27.9</v>
      </c>
      <c r="K61" s="10">
        <v>3.95</v>
      </c>
      <c r="L61" s="10">
        <v>3.36</v>
      </c>
      <c r="M61" s="9">
        <v>110.6</v>
      </c>
      <c r="N61" s="9">
        <v>81.599999999999994</v>
      </c>
    </row>
    <row r="62" spans="1:14" ht="15" customHeight="1" x14ac:dyDescent="0.35">
      <c r="A62" s="8" t="s">
        <v>51</v>
      </c>
      <c r="B62" s="8" t="s">
        <v>39</v>
      </c>
      <c r="C62" s="8" t="s">
        <v>41</v>
      </c>
      <c r="D62" s="9">
        <v>546.70000000000005</v>
      </c>
      <c r="E62" s="9">
        <v>252.8</v>
      </c>
      <c r="F62" s="9">
        <v>53.9</v>
      </c>
      <c r="G62" s="9">
        <v>71.900000000000006</v>
      </c>
      <c r="H62" s="9">
        <v>27.8</v>
      </c>
      <c r="I62" s="9">
        <v>294</v>
      </c>
      <c r="J62" s="9">
        <v>140.30000000000001</v>
      </c>
      <c r="K62" s="10">
        <v>4.46</v>
      </c>
      <c r="L62" s="10">
        <v>3.8</v>
      </c>
      <c r="M62" s="9">
        <v>526.5</v>
      </c>
      <c r="N62" s="9">
        <v>414.2</v>
      </c>
    </row>
    <row r="63" spans="1:14" ht="15" customHeight="1" x14ac:dyDescent="0.35">
      <c r="A63" s="8" t="s">
        <v>51</v>
      </c>
      <c r="B63" s="8" t="s">
        <v>39</v>
      </c>
      <c r="C63" s="8" t="s">
        <v>42</v>
      </c>
      <c r="D63" s="9">
        <v>400.3</v>
      </c>
      <c r="E63" s="9">
        <v>198.3</v>
      </c>
      <c r="F63" s="9">
        <v>35.799999999999997</v>
      </c>
      <c r="G63" s="9">
        <v>50.9</v>
      </c>
      <c r="H63" s="9">
        <v>19.600000000000001</v>
      </c>
      <c r="I63" s="9">
        <v>202</v>
      </c>
      <c r="J63" s="9">
        <v>95.6</v>
      </c>
      <c r="K63" s="10">
        <v>3.93</v>
      </c>
      <c r="L63" s="10">
        <v>3.93</v>
      </c>
      <c r="M63" s="9">
        <v>414.6</v>
      </c>
      <c r="N63" s="9">
        <v>304.39999999999998</v>
      </c>
    </row>
    <row r="64" spans="1:14" ht="15" customHeight="1" x14ac:dyDescent="0.35">
      <c r="A64" s="8" t="s">
        <v>51</v>
      </c>
      <c r="B64" s="8" t="s">
        <v>39</v>
      </c>
      <c r="C64" s="8" t="s">
        <v>43</v>
      </c>
      <c r="D64" s="9">
        <v>374.2</v>
      </c>
      <c r="E64" s="9">
        <v>182.6</v>
      </c>
      <c r="F64" s="9">
        <v>32.1</v>
      </c>
      <c r="G64" s="9">
        <v>47.5</v>
      </c>
      <c r="H64" s="9">
        <v>18.100000000000001</v>
      </c>
      <c r="I64" s="9">
        <v>191.6</v>
      </c>
      <c r="J64" s="9">
        <v>93.9</v>
      </c>
      <c r="K64" s="10">
        <v>3.79</v>
      </c>
      <c r="L64" s="10">
        <v>3.49</v>
      </c>
      <c r="M64" s="9">
        <v>366</v>
      </c>
      <c r="N64" s="9">
        <v>277.89999999999998</v>
      </c>
    </row>
    <row r="65" spans="1:14" ht="15" customHeight="1" x14ac:dyDescent="0.35">
      <c r="A65" s="8" t="s">
        <v>51</v>
      </c>
      <c r="B65" s="8" t="s">
        <v>44</v>
      </c>
      <c r="C65" s="8" t="s">
        <v>45</v>
      </c>
      <c r="D65" s="9">
        <v>276.2</v>
      </c>
      <c r="E65" s="9">
        <v>81.099999999999994</v>
      </c>
      <c r="F65" s="9">
        <v>36.200000000000003</v>
      </c>
      <c r="G65" s="9">
        <v>56.2</v>
      </c>
      <c r="H65" s="9">
        <v>34.6</v>
      </c>
      <c r="I65" s="9">
        <v>195.1</v>
      </c>
      <c r="J65" s="9">
        <v>68.099999999999994</v>
      </c>
      <c r="K65" s="10">
        <v>5.59</v>
      </c>
      <c r="L65" s="10">
        <v>3.25</v>
      </c>
      <c r="M65" s="9">
        <v>273.89999999999998</v>
      </c>
      <c r="N65" s="9">
        <v>217.3</v>
      </c>
    </row>
    <row r="66" spans="1:14" ht="15" customHeight="1" x14ac:dyDescent="0.35">
      <c r="A66" s="8" t="s">
        <v>51</v>
      </c>
      <c r="B66" s="8" t="s">
        <v>44</v>
      </c>
      <c r="C66" s="8" t="s">
        <v>46</v>
      </c>
      <c r="D66" s="9">
        <v>152.30000000000001</v>
      </c>
      <c r="E66" s="9">
        <v>45</v>
      </c>
      <c r="F66" s="9">
        <v>21.2</v>
      </c>
      <c r="G66" s="9">
        <v>30.6</v>
      </c>
      <c r="H66" s="9">
        <v>17.8</v>
      </c>
      <c r="I66" s="9">
        <v>107.3</v>
      </c>
      <c r="J66" s="9">
        <v>37.700000000000003</v>
      </c>
      <c r="K66" s="10">
        <v>4.8600000000000003</v>
      </c>
      <c r="L66" s="10">
        <v>3.28</v>
      </c>
      <c r="M66" s="9">
        <v>151.30000000000001</v>
      </c>
      <c r="N66" s="9">
        <v>117.4</v>
      </c>
    </row>
    <row r="67" spans="1:14" ht="15" customHeight="1" x14ac:dyDescent="0.35">
      <c r="A67" s="8" t="s">
        <v>51</v>
      </c>
      <c r="B67" s="8" t="s">
        <v>44</v>
      </c>
      <c r="C67" s="8" t="s">
        <v>47</v>
      </c>
      <c r="D67" s="9">
        <v>213.1</v>
      </c>
      <c r="E67" s="9">
        <v>64.099999999999994</v>
      </c>
      <c r="F67" s="9">
        <v>30.4</v>
      </c>
      <c r="G67" s="9">
        <v>41.5</v>
      </c>
      <c r="H67" s="9">
        <v>25.2</v>
      </c>
      <c r="I67" s="9">
        <v>149</v>
      </c>
      <c r="J67" s="9">
        <v>52</v>
      </c>
      <c r="K67" s="10">
        <v>4.9000000000000004</v>
      </c>
      <c r="L67" s="10">
        <v>2.86</v>
      </c>
      <c r="M67" s="9">
        <v>234.1</v>
      </c>
      <c r="N67" s="9">
        <v>160.4</v>
      </c>
    </row>
    <row r="68" spans="1:14" ht="15" customHeight="1" x14ac:dyDescent="0.35">
      <c r="A68" s="8" t="s">
        <v>51</v>
      </c>
      <c r="B68" s="8" t="s">
        <v>44</v>
      </c>
      <c r="C68" s="8" t="s">
        <v>48</v>
      </c>
      <c r="D68" s="9">
        <v>160.6</v>
      </c>
      <c r="E68" s="9">
        <v>47.1</v>
      </c>
      <c r="F68" s="9">
        <v>23.6</v>
      </c>
      <c r="G68" s="9">
        <v>32.9</v>
      </c>
      <c r="H68" s="9">
        <v>19.5</v>
      </c>
      <c r="I68" s="9">
        <v>113.5</v>
      </c>
      <c r="J68" s="9">
        <v>37.5</v>
      </c>
      <c r="K68" s="10">
        <v>5.45</v>
      </c>
      <c r="L68" s="10">
        <v>3.13</v>
      </c>
      <c r="M68" s="9">
        <v>160.9</v>
      </c>
      <c r="N68" s="9">
        <v>130.69999999999999</v>
      </c>
    </row>
    <row r="69" spans="1:14" ht="15" customHeight="1" x14ac:dyDescent="0.35">
      <c r="A69" s="8" t="s">
        <v>52</v>
      </c>
      <c r="B69" s="8" t="s">
        <v>29</v>
      </c>
      <c r="C69" s="8" t="s">
        <v>30</v>
      </c>
      <c r="D69" s="9">
        <v>281.8</v>
      </c>
      <c r="E69" s="9">
        <v>122.8</v>
      </c>
      <c r="F69" s="9">
        <v>26.6</v>
      </c>
      <c r="G69" s="9">
        <v>38.700000000000003</v>
      </c>
      <c r="H69" s="9">
        <v>8.1999999999999993</v>
      </c>
      <c r="I69" s="9">
        <v>159</v>
      </c>
      <c r="J69" s="9">
        <v>85.5</v>
      </c>
      <c r="K69" s="10">
        <v>3.5</v>
      </c>
      <c r="L69" s="10">
        <v>4.37</v>
      </c>
      <c r="M69" s="9">
        <v>289.8</v>
      </c>
      <c r="N69" s="9">
        <v>196.2</v>
      </c>
    </row>
    <row r="70" spans="1:14" ht="15" customHeight="1" x14ac:dyDescent="0.35">
      <c r="A70" s="8" t="s">
        <v>52</v>
      </c>
      <c r="B70" s="8" t="s">
        <v>29</v>
      </c>
      <c r="C70" s="8" t="s">
        <v>31</v>
      </c>
      <c r="D70" s="9">
        <v>188.3</v>
      </c>
      <c r="E70" s="9">
        <v>78.5</v>
      </c>
      <c r="F70" s="9">
        <v>20.3</v>
      </c>
      <c r="G70" s="9">
        <v>26.4</v>
      </c>
      <c r="H70" s="9">
        <v>5.6</v>
      </c>
      <c r="I70" s="9">
        <v>109.7</v>
      </c>
      <c r="J70" s="9">
        <v>57.5</v>
      </c>
      <c r="K70" s="10">
        <v>3.16</v>
      </c>
      <c r="L70" s="10">
        <v>4</v>
      </c>
      <c r="M70" s="9">
        <v>200</v>
      </c>
      <c r="N70" s="9">
        <v>132.80000000000001</v>
      </c>
    </row>
    <row r="71" spans="1:14" ht="15" customHeight="1" x14ac:dyDescent="0.35">
      <c r="A71" s="8" t="s">
        <v>52</v>
      </c>
      <c r="B71" s="8" t="s">
        <v>29</v>
      </c>
      <c r="C71" s="8" t="s">
        <v>32</v>
      </c>
      <c r="D71" s="9">
        <v>248.1</v>
      </c>
      <c r="E71" s="9">
        <v>109.3</v>
      </c>
      <c r="F71" s="9">
        <v>24.4</v>
      </c>
      <c r="G71" s="9">
        <v>35</v>
      </c>
      <c r="H71" s="9">
        <v>7.7</v>
      </c>
      <c r="I71" s="9">
        <v>138.80000000000001</v>
      </c>
      <c r="J71" s="9">
        <v>71.599999999999994</v>
      </c>
      <c r="K71" s="10">
        <v>3.32</v>
      </c>
      <c r="L71" s="10">
        <v>3.81</v>
      </c>
      <c r="M71" s="9">
        <v>270.60000000000002</v>
      </c>
      <c r="N71" s="9">
        <v>181.6</v>
      </c>
    </row>
    <row r="72" spans="1:14" ht="15" customHeight="1" x14ac:dyDescent="0.35">
      <c r="A72" s="8" t="s">
        <v>52</v>
      </c>
      <c r="B72" s="8" t="s">
        <v>29</v>
      </c>
      <c r="C72" s="8" t="s">
        <v>33</v>
      </c>
      <c r="D72" s="9">
        <v>222.2</v>
      </c>
      <c r="E72" s="9">
        <v>90.1</v>
      </c>
      <c r="F72" s="9">
        <v>23.9</v>
      </c>
      <c r="G72" s="9">
        <v>31.5</v>
      </c>
      <c r="H72" s="9">
        <v>6.7</v>
      </c>
      <c r="I72" s="9">
        <v>132.1</v>
      </c>
      <c r="J72" s="9">
        <v>70</v>
      </c>
      <c r="K72" s="10">
        <v>3.58</v>
      </c>
      <c r="L72" s="10">
        <v>4.49</v>
      </c>
      <c r="M72" s="9">
        <v>216.1</v>
      </c>
      <c r="N72" s="9">
        <v>151.30000000000001</v>
      </c>
    </row>
    <row r="73" spans="1:14" ht="15" customHeight="1" x14ac:dyDescent="0.35">
      <c r="A73" s="8" t="s">
        <v>52</v>
      </c>
      <c r="B73" s="8" t="s">
        <v>34</v>
      </c>
      <c r="C73" s="8" t="s">
        <v>35</v>
      </c>
      <c r="D73" s="9">
        <v>488.2</v>
      </c>
      <c r="E73" s="9">
        <v>280.10000000000002</v>
      </c>
      <c r="F73" s="9">
        <v>36.200000000000003</v>
      </c>
      <c r="G73" s="9">
        <v>58.5</v>
      </c>
      <c r="H73" s="9">
        <v>20.100000000000001</v>
      </c>
      <c r="I73" s="9">
        <v>208.1</v>
      </c>
      <c r="J73" s="9">
        <v>93.3</v>
      </c>
      <c r="K73" s="10">
        <v>2.15</v>
      </c>
      <c r="L73" s="10">
        <v>5.14</v>
      </c>
      <c r="M73" s="9">
        <v>516.70000000000005</v>
      </c>
      <c r="N73" s="9">
        <v>410.4</v>
      </c>
    </row>
    <row r="74" spans="1:14" ht="15" customHeight="1" x14ac:dyDescent="0.35">
      <c r="A74" s="8" t="s">
        <v>52</v>
      </c>
      <c r="B74" s="8" t="s">
        <v>34</v>
      </c>
      <c r="C74" s="8" t="s">
        <v>36</v>
      </c>
      <c r="D74" s="9">
        <v>218.8</v>
      </c>
      <c r="E74" s="9">
        <v>123.5</v>
      </c>
      <c r="F74" s="9">
        <v>17.8</v>
      </c>
      <c r="G74" s="9">
        <v>25.9</v>
      </c>
      <c r="H74" s="9">
        <v>8.6</v>
      </c>
      <c r="I74" s="9">
        <v>95.3</v>
      </c>
      <c r="J74" s="9">
        <v>42.9</v>
      </c>
      <c r="K74" s="10">
        <v>2.17</v>
      </c>
      <c r="L74" s="10">
        <v>6.04</v>
      </c>
      <c r="M74" s="9">
        <v>227</v>
      </c>
      <c r="N74" s="9">
        <v>176.6</v>
      </c>
    </row>
    <row r="75" spans="1:14" ht="15" customHeight="1" x14ac:dyDescent="0.35">
      <c r="A75" s="8" t="s">
        <v>52</v>
      </c>
      <c r="B75" s="8" t="s">
        <v>34</v>
      </c>
      <c r="C75" s="8" t="s">
        <v>37</v>
      </c>
      <c r="D75" s="9">
        <v>438.9</v>
      </c>
      <c r="E75" s="9">
        <v>254.5</v>
      </c>
      <c r="F75" s="9">
        <v>32.799999999999997</v>
      </c>
      <c r="G75" s="9">
        <v>53.2</v>
      </c>
      <c r="H75" s="9">
        <v>17.600000000000001</v>
      </c>
      <c r="I75" s="9">
        <v>184.4</v>
      </c>
      <c r="J75" s="9">
        <v>80.8</v>
      </c>
      <c r="K75" s="10">
        <v>2.48</v>
      </c>
      <c r="L75" s="10">
        <v>4.8600000000000003</v>
      </c>
      <c r="M75" s="9">
        <v>474.4</v>
      </c>
      <c r="N75" s="9">
        <v>380.5</v>
      </c>
    </row>
    <row r="76" spans="1:14" ht="15" customHeight="1" x14ac:dyDescent="0.35">
      <c r="A76" s="8" t="s">
        <v>52</v>
      </c>
      <c r="B76" s="8" t="s">
        <v>34</v>
      </c>
      <c r="C76" s="8" t="s">
        <v>38</v>
      </c>
      <c r="D76" s="9">
        <v>415.6</v>
      </c>
      <c r="E76" s="9">
        <v>234.7</v>
      </c>
      <c r="F76" s="9">
        <v>36.700000000000003</v>
      </c>
      <c r="G76" s="9">
        <v>50.9</v>
      </c>
      <c r="H76" s="9">
        <v>16</v>
      </c>
      <c r="I76" s="9">
        <v>181</v>
      </c>
      <c r="J76" s="9">
        <v>77.400000000000006</v>
      </c>
      <c r="K76" s="10">
        <v>2.4500000000000002</v>
      </c>
      <c r="L76" s="10">
        <v>5.64</v>
      </c>
      <c r="M76" s="9">
        <v>421.3</v>
      </c>
      <c r="N76" s="9">
        <v>352.1</v>
      </c>
    </row>
    <row r="77" spans="1:14" ht="15" customHeight="1" x14ac:dyDescent="0.35">
      <c r="A77" s="8" t="s">
        <v>52</v>
      </c>
      <c r="B77" s="8" t="s">
        <v>39</v>
      </c>
      <c r="C77" s="8" t="s">
        <v>40</v>
      </c>
      <c r="D77" s="9">
        <v>155.69999999999999</v>
      </c>
      <c r="E77" s="9">
        <v>73.8</v>
      </c>
      <c r="F77" s="9">
        <v>15.1</v>
      </c>
      <c r="G77" s="9">
        <v>19.600000000000001</v>
      </c>
      <c r="H77" s="9">
        <v>7.7</v>
      </c>
      <c r="I77" s="9">
        <v>82</v>
      </c>
      <c r="J77" s="9">
        <v>39.6</v>
      </c>
      <c r="K77" s="10">
        <v>3.97</v>
      </c>
      <c r="L77" s="10">
        <v>3.83</v>
      </c>
      <c r="M77" s="9">
        <v>169.4</v>
      </c>
      <c r="N77" s="9">
        <v>115.9</v>
      </c>
    </row>
    <row r="78" spans="1:14" ht="15" customHeight="1" x14ac:dyDescent="0.35">
      <c r="A78" s="8" t="s">
        <v>52</v>
      </c>
      <c r="B78" s="8" t="s">
        <v>39</v>
      </c>
      <c r="C78" s="8" t="s">
        <v>41</v>
      </c>
      <c r="D78" s="9">
        <v>269.89999999999998</v>
      </c>
      <c r="E78" s="9">
        <v>133.6</v>
      </c>
      <c r="F78" s="9">
        <v>24.3</v>
      </c>
      <c r="G78" s="9">
        <v>34.6</v>
      </c>
      <c r="H78" s="9">
        <v>13.4</v>
      </c>
      <c r="I78" s="9">
        <v>136.30000000000001</v>
      </c>
      <c r="J78" s="9">
        <v>64</v>
      </c>
      <c r="K78" s="10">
        <v>3.66</v>
      </c>
      <c r="L78" s="10">
        <v>3.5</v>
      </c>
      <c r="M78" s="9">
        <v>276.5</v>
      </c>
      <c r="N78" s="9">
        <v>207.1</v>
      </c>
    </row>
    <row r="79" spans="1:14" ht="15" customHeight="1" x14ac:dyDescent="0.35">
      <c r="A79" s="8" t="s">
        <v>52</v>
      </c>
      <c r="B79" s="8" t="s">
        <v>39</v>
      </c>
      <c r="C79" s="8" t="s">
        <v>42</v>
      </c>
      <c r="D79" s="9">
        <v>324.5</v>
      </c>
      <c r="E79" s="9">
        <v>154.19999999999999</v>
      </c>
      <c r="F79" s="9">
        <v>30</v>
      </c>
      <c r="G79" s="9">
        <v>42.8</v>
      </c>
      <c r="H79" s="9">
        <v>15.4</v>
      </c>
      <c r="I79" s="9">
        <v>170.3</v>
      </c>
      <c r="J79" s="9">
        <v>82.1</v>
      </c>
      <c r="K79" s="10">
        <v>4.3</v>
      </c>
      <c r="L79" s="10">
        <v>3.51</v>
      </c>
      <c r="M79" s="9">
        <v>355.1</v>
      </c>
      <c r="N79" s="9">
        <v>236.7</v>
      </c>
    </row>
    <row r="80" spans="1:14" ht="15" customHeight="1" x14ac:dyDescent="0.35">
      <c r="A80" s="8" t="s">
        <v>52</v>
      </c>
      <c r="B80" s="8" t="s">
        <v>39</v>
      </c>
      <c r="C80" s="8" t="s">
        <v>43</v>
      </c>
      <c r="D80" s="9">
        <v>492</v>
      </c>
      <c r="E80" s="9">
        <v>226.6</v>
      </c>
      <c r="F80" s="9">
        <v>49.6</v>
      </c>
      <c r="G80" s="9">
        <v>64.3</v>
      </c>
      <c r="H80" s="9">
        <v>24.8</v>
      </c>
      <c r="I80" s="9">
        <v>265.39999999999998</v>
      </c>
      <c r="J80" s="9">
        <v>126.7</v>
      </c>
      <c r="K80" s="10">
        <v>3.57</v>
      </c>
      <c r="L80" s="10">
        <v>4.03</v>
      </c>
      <c r="M80" s="9">
        <v>482.9</v>
      </c>
      <c r="N80" s="9">
        <v>386.7</v>
      </c>
    </row>
    <row r="81" spans="1:14" ht="15" customHeight="1" x14ac:dyDescent="0.35">
      <c r="A81" s="8" t="s">
        <v>52</v>
      </c>
      <c r="B81" s="8" t="s">
        <v>44</v>
      </c>
      <c r="C81" s="8" t="s">
        <v>45</v>
      </c>
      <c r="D81" s="9">
        <v>160.9</v>
      </c>
      <c r="E81" s="9">
        <v>48.2</v>
      </c>
      <c r="F81" s="9">
        <v>22.3</v>
      </c>
      <c r="G81" s="9">
        <v>32.5</v>
      </c>
      <c r="H81" s="9">
        <v>18.600000000000001</v>
      </c>
      <c r="I81" s="9">
        <v>112.7</v>
      </c>
      <c r="J81" s="9">
        <v>39.299999999999997</v>
      </c>
      <c r="K81" s="10">
        <v>4.9800000000000004</v>
      </c>
      <c r="L81" s="10">
        <v>3.48</v>
      </c>
      <c r="M81" s="9">
        <v>175.7</v>
      </c>
      <c r="N81" s="9">
        <v>121.7</v>
      </c>
    </row>
    <row r="82" spans="1:14" ht="15" customHeight="1" x14ac:dyDescent="0.35">
      <c r="A82" s="8" t="s">
        <v>52</v>
      </c>
      <c r="B82" s="8" t="s">
        <v>44</v>
      </c>
      <c r="C82" s="8" t="s">
        <v>46</v>
      </c>
      <c r="D82" s="9">
        <v>156.80000000000001</v>
      </c>
      <c r="E82" s="9">
        <v>48</v>
      </c>
      <c r="F82" s="9">
        <v>21.7</v>
      </c>
      <c r="G82" s="9">
        <v>30.5</v>
      </c>
      <c r="H82" s="9">
        <v>18.2</v>
      </c>
      <c r="I82" s="9">
        <v>108.8</v>
      </c>
      <c r="J82" s="9">
        <v>38.4</v>
      </c>
      <c r="K82" s="10">
        <v>5.86</v>
      </c>
      <c r="L82" s="10">
        <v>3.32</v>
      </c>
      <c r="M82" s="9">
        <v>149.6</v>
      </c>
      <c r="N82" s="9">
        <v>116.6</v>
      </c>
    </row>
    <row r="83" spans="1:14" ht="15" customHeight="1" x14ac:dyDescent="0.35">
      <c r="A83" s="8" t="s">
        <v>52</v>
      </c>
      <c r="B83" s="8" t="s">
        <v>44</v>
      </c>
      <c r="C83" s="8" t="s">
        <v>47</v>
      </c>
      <c r="D83" s="9">
        <v>141.4</v>
      </c>
      <c r="E83" s="9">
        <v>43.4</v>
      </c>
      <c r="F83" s="9">
        <v>17.899999999999999</v>
      </c>
      <c r="G83" s="9">
        <v>27.6</v>
      </c>
      <c r="H83" s="9">
        <v>17.5</v>
      </c>
      <c r="I83" s="9">
        <v>97.9</v>
      </c>
      <c r="J83" s="9">
        <v>34.9</v>
      </c>
      <c r="K83" s="10">
        <v>4.97</v>
      </c>
      <c r="L83" s="10">
        <v>3.32</v>
      </c>
      <c r="M83" s="9">
        <v>139.30000000000001</v>
      </c>
      <c r="N83" s="9">
        <v>103.3</v>
      </c>
    </row>
    <row r="84" spans="1:14" ht="15" customHeight="1" x14ac:dyDescent="0.35">
      <c r="A84" s="8" t="s">
        <v>52</v>
      </c>
      <c r="B84" s="8" t="s">
        <v>44</v>
      </c>
      <c r="C84" s="8" t="s">
        <v>48</v>
      </c>
      <c r="D84" s="9">
        <v>222.7</v>
      </c>
      <c r="E84" s="9">
        <v>68.8</v>
      </c>
      <c r="F84" s="9">
        <v>33.9</v>
      </c>
      <c r="G84" s="9">
        <v>45.8</v>
      </c>
      <c r="H84" s="9">
        <v>26.4</v>
      </c>
      <c r="I84" s="9">
        <v>153.9</v>
      </c>
      <c r="J84" s="9">
        <v>47.8</v>
      </c>
      <c r="K84" s="10">
        <v>5.78</v>
      </c>
      <c r="L84" s="10">
        <v>2.97</v>
      </c>
      <c r="M84" s="9">
        <v>221.4</v>
      </c>
      <c r="N84" s="9">
        <v>185.2</v>
      </c>
    </row>
    <row r="85" spans="1:14" ht="15" customHeight="1" x14ac:dyDescent="0.35">
      <c r="A85" s="8" t="s">
        <v>53</v>
      </c>
      <c r="B85" s="8" t="s">
        <v>29</v>
      </c>
      <c r="C85" s="8" t="s">
        <v>30</v>
      </c>
      <c r="D85" s="9">
        <v>283.7</v>
      </c>
      <c r="E85" s="9">
        <v>116.7</v>
      </c>
      <c r="F85" s="9">
        <v>29.4</v>
      </c>
      <c r="G85" s="9">
        <v>39.700000000000003</v>
      </c>
      <c r="H85" s="9">
        <v>8.6</v>
      </c>
      <c r="I85" s="9">
        <v>167</v>
      </c>
      <c r="J85" s="9">
        <v>89.3</v>
      </c>
      <c r="K85" s="10">
        <v>3.14</v>
      </c>
      <c r="L85" s="10">
        <v>3.99</v>
      </c>
      <c r="M85" s="9">
        <v>309.89999999999998</v>
      </c>
      <c r="N85" s="9">
        <v>202.9</v>
      </c>
    </row>
    <row r="86" spans="1:14" ht="15" customHeight="1" x14ac:dyDescent="0.35">
      <c r="A86" s="8" t="s">
        <v>53</v>
      </c>
      <c r="B86" s="8" t="s">
        <v>29</v>
      </c>
      <c r="C86" s="8" t="s">
        <v>31</v>
      </c>
      <c r="D86" s="9">
        <v>106.9</v>
      </c>
      <c r="E86" s="9">
        <v>46.9</v>
      </c>
      <c r="F86" s="9">
        <v>10.8</v>
      </c>
      <c r="G86" s="9">
        <v>15.5</v>
      </c>
      <c r="H86" s="9">
        <v>3.3</v>
      </c>
      <c r="I86" s="9">
        <v>60</v>
      </c>
      <c r="J86" s="9">
        <v>30.4</v>
      </c>
      <c r="K86" s="10">
        <v>3.13</v>
      </c>
      <c r="L86" s="10">
        <v>3.72</v>
      </c>
      <c r="M86" s="9">
        <v>105.9</v>
      </c>
      <c r="N86" s="9">
        <v>78</v>
      </c>
    </row>
    <row r="87" spans="1:14" ht="15" customHeight="1" x14ac:dyDescent="0.35">
      <c r="A87" s="8" t="s">
        <v>53</v>
      </c>
      <c r="B87" s="8" t="s">
        <v>29</v>
      </c>
      <c r="C87" s="8" t="s">
        <v>32</v>
      </c>
      <c r="D87" s="9">
        <v>181.8</v>
      </c>
      <c r="E87" s="9">
        <v>74.7</v>
      </c>
      <c r="F87" s="9">
        <v>16.899999999999999</v>
      </c>
      <c r="G87" s="9">
        <v>26.2</v>
      </c>
      <c r="H87" s="9">
        <v>5.7</v>
      </c>
      <c r="I87" s="9">
        <v>107.1</v>
      </c>
      <c r="J87" s="9">
        <v>58.3</v>
      </c>
      <c r="K87" s="10">
        <v>3.22</v>
      </c>
      <c r="L87" s="10">
        <v>3.87</v>
      </c>
      <c r="M87" s="9">
        <v>180.1</v>
      </c>
      <c r="N87" s="9">
        <v>118.8</v>
      </c>
    </row>
    <row r="88" spans="1:14" ht="15" customHeight="1" x14ac:dyDescent="0.35">
      <c r="A88" s="8" t="s">
        <v>53</v>
      </c>
      <c r="B88" s="8" t="s">
        <v>29</v>
      </c>
      <c r="C88" s="8" t="s">
        <v>33</v>
      </c>
      <c r="D88" s="9">
        <v>417.9</v>
      </c>
      <c r="E88" s="9">
        <v>169</v>
      </c>
      <c r="F88" s="9">
        <v>42.9</v>
      </c>
      <c r="G88" s="9">
        <v>57.9</v>
      </c>
      <c r="H88" s="9">
        <v>12.6</v>
      </c>
      <c r="I88" s="9">
        <v>248.9</v>
      </c>
      <c r="J88" s="9">
        <v>135.5</v>
      </c>
      <c r="K88" s="10">
        <v>3.35</v>
      </c>
      <c r="L88" s="10">
        <v>4.53</v>
      </c>
      <c r="M88" s="9">
        <v>410</v>
      </c>
      <c r="N88" s="9">
        <v>271.5</v>
      </c>
    </row>
    <row r="89" spans="1:14" ht="15" customHeight="1" x14ac:dyDescent="0.35">
      <c r="A89" s="8" t="s">
        <v>53</v>
      </c>
      <c r="B89" s="8" t="s">
        <v>34</v>
      </c>
      <c r="C89" s="8" t="s">
        <v>35</v>
      </c>
      <c r="D89" s="9">
        <v>484.9</v>
      </c>
      <c r="E89" s="9">
        <v>275</v>
      </c>
      <c r="F89" s="9">
        <v>35.6</v>
      </c>
      <c r="G89" s="9">
        <v>58.9</v>
      </c>
      <c r="H89" s="9">
        <v>18.899999999999999</v>
      </c>
      <c r="I89" s="9">
        <v>209.9</v>
      </c>
      <c r="J89" s="9">
        <v>96.5</v>
      </c>
      <c r="K89" s="10">
        <v>2.3199999999999998</v>
      </c>
      <c r="L89" s="10">
        <v>5.22</v>
      </c>
      <c r="M89" s="9">
        <v>486.5</v>
      </c>
      <c r="N89" s="9">
        <v>403.6</v>
      </c>
    </row>
    <row r="90" spans="1:14" ht="15" customHeight="1" x14ac:dyDescent="0.35">
      <c r="A90" s="8" t="s">
        <v>53</v>
      </c>
      <c r="B90" s="8" t="s">
        <v>34</v>
      </c>
      <c r="C90" s="8" t="s">
        <v>36</v>
      </c>
      <c r="D90" s="9">
        <v>698.4</v>
      </c>
      <c r="E90" s="9">
        <v>388.8</v>
      </c>
      <c r="F90" s="9">
        <v>56.1</v>
      </c>
      <c r="G90" s="9">
        <v>85.2</v>
      </c>
      <c r="H90" s="9">
        <v>29.2</v>
      </c>
      <c r="I90" s="9">
        <v>309.60000000000002</v>
      </c>
      <c r="J90" s="9">
        <v>139.1</v>
      </c>
      <c r="K90" s="10">
        <v>2.57</v>
      </c>
      <c r="L90" s="10">
        <v>5.12</v>
      </c>
      <c r="M90" s="9">
        <v>666.7</v>
      </c>
      <c r="N90" s="9">
        <v>553.1</v>
      </c>
    </row>
    <row r="91" spans="1:14" ht="15" customHeight="1" x14ac:dyDescent="0.35">
      <c r="A91" s="8" t="s">
        <v>53</v>
      </c>
      <c r="B91" s="8" t="s">
        <v>34</v>
      </c>
      <c r="C91" s="8" t="s">
        <v>37</v>
      </c>
      <c r="D91" s="9">
        <v>143.19999999999999</v>
      </c>
      <c r="E91" s="9">
        <v>75.3</v>
      </c>
      <c r="F91" s="9">
        <v>11.6</v>
      </c>
      <c r="G91" s="9">
        <v>17.399999999999999</v>
      </c>
      <c r="H91" s="9">
        <v>5.6</v>
      </c>
      <c r="I91" s="9">
        <v>67.900000000000006</v>
      </c>
      <c r="J91" s="9">
        <v>33.299999999999997</v>
      </c>
      <c r="K91" s="10">
        <v>2.6</v>
      </c>
      <c r="L91" s="10">
        <v>4.9800000000000004</v>
      </c>
      <c r="M91" s="9">
        <v>137.6</v>
      </c>
      <c r="N91" s="9">
        <v>114.2</v>
      </c>
    </row>
    <row r="92" spans="1:14" ht="15" customHeight="1" x14ac:dyDescent="0.35">
      <c r="A92" s="8" t="s">
        <v>53</v>
      </c>
      <c r="B92" s="8" t="s">
        <v>34</v>
      </c>
      <c r="C92" s="8" t="s">
        <v>38</v>
      </c>
      <c r="D92" s="9">
        <v>210.9</v>
      </c>
      <c r="E92" s="9">
        <v>119</v>
      </c>
      <c r="F92" s="9">
        <v>16.8</v>
      </c>
      <c r="G92" s="9">
        <v>25</v>
      </c>
      <c r="H92" s="9">
        <v>8.6999999999999993</v>
      </c>
      <c r="I92" s="9">
        <v>91.9</v>
      </c>
      <c r="J92" s="9">
        <v>41.4</v>
      </c>
      <c r="K92" s="10">
        <v>2.62</v>
      </c>
      <c r="L92" s="10">
        <v>5.76</v>
      </c>
      <c r="M92" s="9">
        <v>209</v>
      </c>
      <c r="N92" s="9">
        <v>173.7</v>
      </c>
    </row>
    <row r="93" spans="1:14" ht="15" customHeight="1" x14ac:dyDescent="0.35">
      <c r="A93" s="8" t="s">
        <v>53</v>
      </c>
      <c r="B93" s="8" t="s">
        <v>39</v>
      </c>
      <c r="C93" s="8" t="s">
        <v>40</v>
      </c>
      <c r="D93" s="9">
        <v>227.7</v>
      </c>
      <c r="E93" s="9">
        <v>112.6</v>
      </c>
      <c r="F93" s="9">
        <v>22.1</v>
      </c>
      <c r="G93" s="9">
        <v>30.1</v>
      </c>
      <c r="H93" s="9">
        <v>11.6</v>
      </c>
      <c r="I93" s="9">
        <v>115.1</v>
      </c>
      <c r="J93" s="9">
        <v>51.3</v>
      </c>
      <c r="K93" s="10">
        <v>4.53</v>
      </c>
      <c r="L93" s="10">
        <v>3.57</v>
      </c>
      <c r="M93" s="9">
        <v>233</v>
      </c>
      <c r="N93" s="9">
        <v>173.6</v>
      </c>
    </row>
    <row r="94" spans="1:14" ht="15" customHeight="1" x14ac:dyDescent="0.35">
      <c r="A94" s="8" t="s">
        <v>53</v>
      </c>
      <c r="B94" s="8" t="s">
        <v>39</v>
      </c>
      <c r="C94" s="8" t="s">
        <v>41</v>
      </c>
      <c r="D94" s="9">
        <v>304.60000000000002</v>
      </c>
      <c r="E94" s="9">
        <v>154.1</v>
      </c>
      <c r="F94" s="9">
        <v>24.9</v>
      </c>
      <c r="G94" s="9">
        <v>40.4</v>
      </c>
      <c r="H94" s="9">
        <v>15.9</v>
      </c>
      <c r="I94" s="9">
        <v>150.5</v>
      </c>
      <c r="J94" s="9">
        <v>69.400000000000006</v>
      </c>
      <c r="K94" s="10">
        <v>3.71</v>
      </c>
      <c r="L94" s="10">
        <v>3.86</v>
      </c>
      <c r="M94" s="9">
        <v>331.2</v>
      </c>
      <c r="N94" s="9">
        <v>226.7</v>
      </c>
    </row>
    <row r="95" spans="1:14" ht="15" customHeight="1" x14ac:dyDescent="0.35">
      <c r="A95" s="8" t="s">
        <v>53</v>
      </c>
      <c r="B95" s="8" t="s">
        <v>39</v>
      </c>
      <c r="C95" s="8" t="s">
        <v>42</v>
      </c>
      <c r="D95" s="9">
        <v>319.89999999999998</v>
      </c>
      <c r="E95" s="9">
        <v>150.9</v>
      </c>
      <c r="F95" s="9">
        <v>31.8</v>
      </c>
      <c r="G95" s="9">
        <v>43.2</v>
      </c>
      <c r="H95" s="9">
        <v>16.7</v>
      </c>
      <c r="I95" s="9">
        <v>169</v>
      </c>
      <c r="J95" s="9">
        <v>77.400000000000006</v>
      </c>
      <c r="K95" s="10">
        <v>4.07</v>
      </c>
      <c r="L95" s="10">
        <v>4.13</v>
      </c>
      <c r="M95" s="9">
        <v>344.4</v>
      </c>
      <c r="N95" s="9">
        <v>241.4</v>
      </c>
    </row>
    <row r="96" spans="1:14" ht="15" customHeight="1" x14ac:dyDescent="0.35">
      <c r="A96" s="8" t="s">
        <v>53</v>
      </c>
      <c r="B96" s="8" t="s">
        <v>39</v>
      </c>
      <c r="C96" s="8" t="s">
        <v>43</v>
      </c>
      <c r="D96" s="9">
        <v>461.8</v>
      </c>
      <c r="E96" s="9">
        <v>211.5</v>
      </c>
      <c r="F96" s="9">
        <v>42.9</v>
      </c>
      <c r="G96" s="9">
        <v>59.2</v>
      </c>
      <c r="H96" s="9">
        <v>22.2</v>
      </c>
      <c r="I96" s="9">
        <v>250.3</v>
      </c>
      <c r="J96" s="9">
        <v>126</v>
      </c>
      <c r="K96" s="10">
        <v>3.58</v>
      </c>
      <c r="L96" s="10">
        <v>3.98</v>
      </c>
      <c r="M96" s="9">
        <v>462.3</v>
      </c>
      <c r="N96" s="9">
        <v>349.1</v>
      </c>
    </row>
    <row r="97" spans="1:14" ht="15" customHeight="1" x14ac:dyDescent="0.35">
      <c r="A97" s="8" t="s">
        <v>53</v>
      </c>
      <c r="B97" s="8" t="s">
        <v>44</v>
      </c>
      <c r="C97" s="8" t="s">
        <v>45</v>
      </c>
      <c r="D97" s="9">
        <v>162.69999999999999</v>
      </c>
      <c r="E97" s="9">
        <v>46.5</v>
      </c>
      <c r="F97" s="9">
        <v>24.9</v>
      </c>
      <c r="G97" s="9">
        <v>31.6</v>
      </c>
      <c r="H97" s="9">
        <v>20.3</v>
      </c>
      <c r="I97" s="9">
        <v>116.2</v>
      </c>
      <c r="J97" s="9">
        <v>39.5</v>
      </c>
      <c r="K97" s="10">
        <v>5.55</v>
      </c>
      <c r="L97" s="10">
        <v>3.54</v>
      </c>
      <c r="M97" s="9">
        <v>174.1</v>
      </c>
      <c r="N97" s="9">
        <v>131.9</v>
      </c>
    </row>
    <row r="98" spans="1:14" ht="15" customHeight="1" x14ac:dyDescent="0.35">
      <c r="A98" s="8" t="s">
        <v>53</v>
      </c>
      <c r="B98" s="8" t="s">
        <v>44</v>
      </c>
      <c r="C98" s="8" t="s">
        <v>46</v>
      </c>
      <c r="D98" s="9">
        <v>144.30000000000001</v>
      </c>
      <c r="E98" s="9">
        <v>44.8</v>
      </c>
      <c r="F98" s="9">
        <v>20</v>
      </c>
      <c r="G98" s="9">
        <v>29</v>
      </c>
      <c r="H98" s="9">
        <v>17.5</v>
      </c>
      <c r="I98" s="9">
        <v>99.5</v>
      </c>
      <c r="J98" s="9">
        <v>33.1</v>
      </c>
      <c r="K98" s="10">
        <v>6.12</v>
      </c>
      <c r="L98" s="10">
        <v>3.57</v>
      </c>
      <c r="M98" s="9">
        <v>153.69999999999999</v>
      </c>
      <c r="N98" s="9">
        <v>111.9</v>
      </c>
    </row>
    <row r="99" spans="1:14" ht="15" customHeight="1" x14ac:dyDescent="0.35">
      <c r="A99" s="8" t="s">
        <v>53</v>
      </c>
      <c r="B99" s="8" t="s">
        <v>44</v>
      </c>
      <c r="C99" s="8" t="s">
        <v>47</v>
      </c>
      <c r="D99" s="9">
        <v>304.3</v>
      </c>
      <c r="E99" s="9">
        <v>94.1</v>
      </c>
      <c r="F99" s="9">
        <v>40.6</v>
      </c>
      <c r="G99" s="9">
        <v>59.5</v>
      </c>
      <c r="H99" s="9">
        <v>36</v>
      </c>
      <c r="I99" s="9">
        <v>210.1</v>
      </c>
      <c r="J99" s="9">
        <v>74.099999999999994</v>
      </c>
      <c r="K99" s="10">
        <v>5.15</v>
      </c>
      <c r="L99" s="10">
        <v>3.04</v>
      </c>
      <c r="M99" s="9">
        <v>299.7</v>
      </c>
      <c r="N99" s="9">
        <v>222</v>
      </c>
    </row>
    <row r="100" spans="1:14" ht="15" customHeight="1" x14ac:dyDescent="0.35">
      <c r="A100" s="8" t="s">
        <v>53</v>
      </c>
      <c r="B100" s="8" t="s">
        <v>44</v>
      </c>
      <c r="C100" s="8" t="s">
        <v>48</v>
      </c>
      <c r="D100" s="9">
        <v>70.599999999999994</v>
      </c>
      <c r="E100" s="9">
        <v>22.4</v>
      </c>
      <c r="F100" s="9">
        <v>9.8000000000000007</v>
      </c>
      <c r="G100" s="9">
        <v>14.1</v>
      </c>
      <c r="H100" s="9">
        <v>8.6</v>
      </c>
      <c r="I100" s="9">
        <v>48.2</v>
      </c>
      <c r="J100" s="9">
        <v>15.7</v>
      </c>
      <c r="K100" s="10">
        <v>5.04</v>
      </c>
      <c r="L100" s="10">
        <v>3.55</v>
      </c>
      <c r="M100" s="9">
        <v>75.400000000000006</v>
      </c>
      <c r="N100" s="9">
        <v>53.3</v>
      </c>
    </row>
    <row r="101" spans="1:14" ht="15" customHeight="1" x14ac:dyDescent="0.35">
      <c r="A101" s="8" t="s">
        <v>54</v>
      </c>
      <c r="B101" s="8" t="s">
        <v>29</v>
      </c>
      <c r="C101" s="8" t="s">
        <v>30</v>
      </c>
      <c r="D101" s="9">
        <v>402.5</v>
      </c>
      <c r="E101" s="9">
        <v>172.7</v>
      </c>
      <c r="F101" s="9">
        <v>41.6</v>
      </c>
      <c r="G101" s="9">
        <v>56.7</v>
      </c>
      <c r="H101" s="9">
        <v>11.7</v>
      </c>
      <c r="I101" s="9">
        <v>229.8</v>
      </c>
      <c r="J101" s="9">
        <v>119.8</v>
      </c>
      <c r="K101" s="10">
        <v>2.89</v>
      </c>
      <c r="L101" s="10">
        <v>3.92</v>
      </c>
      <c r="M101" s="9">
        <v>393.6</v>
      </c>
      <c r="N101" s="9">
        <v>295.60000000000002</v>
      </c>
    </row>
    <row r="102" spans="1:14" ht="15" customHeight="1" x14ac:dyDescent="0.35">
      <c r="A102" s="8" t="s">
        <v>54</v>
      </c>
      <c r="B102" s="8" t="s">
        <v>29</v>
      </c>
      <c r="C102" s="8" t="s">
        <v>31</v>
      </c>
      <c r="D102" s="9">
        <v>203.7</v>
      </c>
      <c r="E102" s="9">
        <v>81.8</v>
      </c>
      <c r="F102" s="9">
        <v>22.7</v>
      </c>
      <c r="G102" s="9">
        <v>29.4</v>
      </c>
      <c r="H102" s="9">
        <v>6.4</v>
      </c>
      <c r="I102" s="9">
        <v>121.9</v>
      </c>
      <c r="J102" s="9">
        <v>63.4</v>
      </c>
      <c r="K102" s="10">
        <v>3.68</v>
      </c>
      <c r="L102" s="10">
        <v>3.87</v>
      </c>
      <c r="M102" s="9">
        <v>205.6</v>
      </c>
      <c r="N102" s="9">
        <v>146.4</v>
      </c>
    </row>
    <row r="103" spans="1:14" ht="15" customHeight="1" x14ac:dyDescent="0.35">
      <c r="A103" s="8" t="s">
        <v>54</v>
      </c>
      <c r="B103" s="8" t="s">
        <v>29</v>
      </c>
      <c r="C103" s="8" t="s">
        <v>32</v>
      </c>
      <c r="D103" s="9">
        <v>125.6</v>
      </c>
      <c r="E103" s="9">
        <v>51</v>
      </c>
      <c r="F103" s="9">
        <v>13.6</v>
      </c>
      <c r="G103" s="9">
        <v>17.3</v>
      </c>
      <c r="H103" s="9">
        <v>3.7</v>
      </c>
      <c r="I103" s="9">
        <v>74.599999999999994</v>
      </c>
      <c r="J103" s="9">
        <v>40</v>
      </c>
      <c r="K103" s="10">
        <v>3.24</v>
      </c>
      <c r="L103" s="10">
        <v>4.29</v>
      </c>
      <c r="M103" s="9">
        <v>130.30000000000001</v>
      </c>
      <c r="N103" s="9">
        <v>83</v>
      </c>
    </row>
    <row r="104" spans="1:14" ht="15" customHeight="1" x14ac:dyDescent="0.35">
      <c r="A104" s="8" t="s">
        <v>54</v>
      </c>
      <c r="B104" s="8" t="s">
        <v>29</v>
      </c>
      <c r="C104" s="8" t="s">
        <v>33</v>
      </c>
      <c r="D104" s="9">
        <v>300.89999999999998</v>
      </c>
      <c r="E104" s="9">
        <v>123.7</v>
      </c>
      <c r="F104" s="9">
        <v>27.9</v>
      </c>
      <c r="G104" s="9">
        <v>43.5</v>
      </c>
      <c r="H104" s="9">
        <v>9.4</v>
      </c>
      <c r="I104" s="9">
        <v>177.1</v>
      </c>
      <c r="J104" s="9">
        <v>96.3</v>
      </c>
      <c r="K104" s="10">
        <v>3.55</v>
      </c>
      <c r="L104" s="10">
        <v>4.51</v>
      </c>
      <c r="M104" s="9">
        <v>315.39999999999998</v>
      </c>
      <c r="N104" s="9">
        <v>208.8</v>
      </c>
    </row>
    <row r="105" spans="1:14" ht="15" customHeight="1" x14ac:dyDescent="0.35">
      <c r="A105" s="8" t="s">
        <v>54</v>
      </c>
      <c r="B105" s="8" t="s">
        <v>34</v>
      </c>
      <c r="C105" s="8" t="s">
        <v>35</v>
      </c>
      <c r="D105" s="9">
        <v>318.89999999999998</v>
      </c>
      <c r="E105" s="9">
        <v>168.1</v>
      </c>
      <c r="F105" s="9">
        <v>27.7</v>
      </c>
      <c r="G105" s="9">
        <v>38.4</v>
      </c>
      <c r="H105" s="9">
        <v>12.7</v>
      </c>
      <c r="I105" s="9">
        <v>150.80000000000001</v>
      </c>
      <c r="J105" s="9">
        <v>71.900000000000006</v>
      </c>
      <c r="K105" s="10">
        <v>2.4700000000000002</v>
      </c>
      <c r="L105" s="10">
        <v>5.93</v>
      </c>
      <c r="M105" s="9">
        <v>319.60000000000002</v>
      </c>
      <c r="N105" s="9">
        <v>255.5</v>
      </c>
    </row>
    <row r="106" spans="1:14" ht="15" customHeight="1" x14ac:dyDescent="0.35">
      <c r="A106" s="8" t="s">
        <v>54</v>
      </c>
      <c r="B106" s="8" t="s">
        <v>34</v>
      </c>
      <c r="C106" s="8" t="s">
        <v>36</v>
      </c>
      <c r="D106" s="9">
        <v>219.5</v>
      </c>
      <c r="E106" s="9">
        <v>118.2</v>
      </c>
      <c r="F106" s="9">
        <v>19.2</v>
      </c>
      <c r="G106" s="9">
        <v>27</v>
      </c>
      <c r="H106" s="9">
        <v>8.9</v>
      </c>
      <c r="I106" s="9">
        <v>101.3</v>
      </c>
      <c r="J106" s="9">
        <v>46.1</v>
      </c>
      <c r="K106" s="10">
        <v>2.65</v>
      </c>
      <c r="L106" s="10">
        <v>5.98</v>
      </c>
      <c r="M106" s="9">
        <v>231.9</v>
      </c>
      <c r="N106" s="9">
        <v>182.4</v>
      </c>
    </row>
    <row r="107" spans="1:14" ht="15" customHeight="1" x14ac:dyDescent="0.35">
      <c r="A107" s="8" t="s">
        <v>54</v>
      </c>
      <c r="B107" s="8" t="s">
        <v>34</v>
      </c>
      <c r="C107" s="8" t="s">
        <v>37</v>
      </c>
      <c r="D107" s="9">
        <v>345</v>
      </c>
      <c r="E107" s="9">
        <v>194.5</v>
      </c>
      <c r="F107" s="9">
        <v>28.6</v>
      </c>
      <c r="G107" s="9">
        <v>42.3</v>
      </c>
      <c r="H107" s="9">
        <v>13.3</v>
      </c>
      <c r="I107" s="9">
        <v>150.5</v>
      </c>
      <c r="J107" s="9">
        <v>66.3</v>
      </c>
      <c r="K107" s="10">
        <v>2.67</v>
      </c>
      <c r="L107" s="10">
        <v>5.99</v>
      </c>
      <c r="M107" s="9">
        <v>329.3</v>
      </c>
      <c r="N107" s="9">
        <v>292.89999999999998</v>
      </c>
    </row>
    <row r="108" spans="1:14" ht="15" customHeight="1" x14ac:dyDescent="0.35">
      <c r="A108" s="8" t="s">
        <v>54</v>
      </c>
      <c r="B108" s="8" t="s">
        <v>34</v>
      </c>
      <c r="C108" s="8" t="s">
        <v>38</v>
      </c>
      <c r="D108" s="9">
        <v>723.5</v>
      </c>
      <c r="E108" s="9">
        <v>392.7</v>
      </c>
      <c r="F108" s="9">
        <v>61.6</v>
      </c>
      <c r="G108" s="9">
        <v>85.2</v>
      </c>
      <c r="H108" s="9">
        <v>29.9</v>
      </c>
      <c r="I108" s="9">
        <v>330.8</v>
      </c>
      <c r="J108" s="9">
        <v>154.19999999999999</v>
      </c>
      <c r="K108" s="10">
        <v>2.64</v>
      </c>
      <c r="L108" s="10">
        <v>5.51</v>
      </c>
      <c r="M108" s="9">
        <v>688.1</v>
      </c>
      <c r="N108" s="9">
        <v>564.6</v>
      </c>
    </row>
    <row r="109" spans="1:14" ht="15" customHeight="1" x14ac:dyDescent="0.35">
      <c r="A109" s="8" t="s">
        <v>54</v>
      </c>
      <c r="B109" s="8" t="s">
        <v>39</v>
      </c>
      <c r="C109" s="8" t="s">
        <v>40</v>
      </c>
      <c r="D109" s="9">
        <v>240.9</v>
      </c>
      <c r="E109" s="9">
        <v>116.7</v>
      </c>
      <c r="F109" s="9">
        <v>24.1</v>
      </c>
      <c r="G109" s="9">
        <v>31.1</v>
      </c>
      <c r="H109" s="9">
        <v>12.2</v>
      </c>
      <c r="I109" s="9">
        <v>124.2</v>
      </c>
      <c r="J109" s="9">
        <v>56.7</v>
      </c>
      <c r="K109" s="10">
        <v>4.63</v>
      </c>
      <c r="L109" s="10">
        <v>3.44</v>
      </c>
      <c r="M109" s="9">
        <v>262.7</v>
      </c>
      <c r="N109" s="9">
        <v>190.7</v>
      </c>
    </row>
    <row r="110" spans="1:14" ht="15" customHeight="1" x14ac:dyDescent="0.35">
      <c r="A110" s="8" t="s">
        <v>54</v>
      </c>
      <c r="B110" s="8" t="s">
        <v>39</v>
      </c>
      <c r="C110" s="8" t="s">
        <v>41</v>
      </c>
      <c r="D110" s="9">
        <v>199.9</v>
      </c>
      <c r="E110" s="9">
        <v>94.3</v>
      </c>
      <c r="F110" s="9">
        <v>19</v>
      </c>
      <c r="G110" s="9">
        <v>25.3</v>
      </c>
      <c r="H110" s="9">
        <v>10.1</v>
      </c>
      <c r="I110" s="9">
        <v>105.6</v>
      </c>
      <c r="J110" s="9">
        <v>51.2</v>
      </c>
      <c r="K110" s="10">
        <v>3.91</v>
      </c>
      <c r="L110" s="10">
        <v>3.91</v>
      </c>
      <c r="M110" s="9">
        <v>191.3</v>
      </c>
      <c r="N110" s="9">
        <v>157</v>
      </c>
    </row>
    <row r="111" spans="1:14" ht="15" customHeight="1" x14ac:dyDescent="0.35">
      <c r="A111" s="8" t="s">
        <v>54</v>
      </c>
      <c r="B111" s="8" t="s">
        <v>39</v>
      </c>
      <c r="C111" s="8" t="s">
        <v>42</v>
      </c>
      <c r="D111" s="9">
        <v>310.39999999999998</v>
      </c>
      <c r="E111" s="9">
        <v>157.4</v>
      </c>
      <c r="F111" s="9">
        <v>29.7</v>
      </c>
      <c r="G111" s="9">
        <v>39.5</v>
      </c>
      <c r="H111" s="9">
        <v>15.9</v>
      </c>
      <c r="I111" s="9">
        <v>153</v>
      </c>
      <c r="J111" s="9">
        <v>67.8</v>
      </c>
      <c r="K111" s="10">
        <v>3.52</v>
      </c>
      <c r="L111" s="10">
        <v>3.36</v>
      </c>
      <c r="M111" s="9">
        <v>309.89999999999998</v>
      </c>
      <c r="N111" s="9">
        <v>245.9</v>
      </c>
    </row>
    <row r="112" spans="1:14" ht="15" customHeight="1" x14ac:dyDescent="0.35">
      <c r="A112" s="8" t="s">
        <v>54</v>
      </c>
      <c r="B112" s="8" t="s">
        <v>39</v>
      </c>
      <c r="C112" s="8" t="s">
        <v>43</v>
      </c>
      <c r="D112" s="9">
        <v>570.4</v>
      </c>
      <c r="E112" s="9">
        <v>280.7</v>
      </c>
      <c r="F112" s="9">
        <v>51.2</v>
      </c>
      <c r="G112" s="9">
        <v>73.400000000000006</v>
      </c>
      <c r="H112" s="9">
        <v>29.9</v>
      </c>
      <c r="I112" s="9">
        <v>289.7</v>
      </c>
      <c r="J112" s="9">
        <v>135.19999999999999</v>
      </c>
      <c r="K112" s="10">
        <v>4.01</v>
      </c>
      <c r="L112" s="10">
        <v>3.76</v>
      </c>
      <c r="M112" s="9">
        <v>555.9</v>
      </c>
      <c r="N112" s="9">
        <v>455.9</v>
      </c>
    </row>
    <row r="113" spans="1:14" ht="15" customHeight="1" x14ac:dyDescent="0.35">
      <c r="A113" s="8" t="s">
        <v>54</v>
      </c>
      <c r="B113" s="8" t="s">
        <v>44</v>
      </c>
      <c r="C113" s="8" t="s">
        <v>45</v>
      </c>
      <c r="D113" s="9">
        <v>100</v>
      </c>
      <c r="E113" s="9">
        <v>31.6</v>
      </c>
      <c r="F113" s="9">
        <v>13.9</v>
      </c>
      <c r="G113" s="9">
        <v>20.3</v>
      </c>
      <c r="H113" s="9">
        <v>11.9</v>
      </c>
      <c r="I113" s="9">
        <v>68.400000000000006</v>
      </c>
      <c r="J113" s="9">
        <v>22.3</v>
      </c>
      <c r="K113" s="10">
        <v>5.13</v>
      </c>
      <c r="L113" s="10">
        <v>3.57</v>
      </c>
      <c r="M113" s="9">
        <v>101.1</v>
      </c>
      <c r="N113" s="9">
        <v>82.2</v>
      </c>
    </row>
    <row r="114" spans="1:14" ht="15" customHeight="1" x14ac:dyDescent="0.35">
      <c r="A114" s="8" t="s">
        <v>54</v>
      </c>
      <c r="B114" s="8" t="s">
        <v>44</v>
      </c>
      <c r="C114" s="8" t="s">
        <v>46</v>
      </c>
      <c r="D114" s="9">
        <v>246.6</v>
      </c>
      <c r="E114" s="9">
        <v>72</v>
      </c>
      <c r="F114" s="9">
        <v>31.3</v>
      </c>
      <c r="G114" s="9">
        <v>50.1</v>
      </c>
      <c r="H114" s="9">
        <v>29.2</v>
      </c>
      <c r="I114" s="9">
        <v>174.6</v>
      </c>
      <c r="J114" s="9">
        <v>64</v>
      </c>
      <c r="K114" s="10">
        <v>6.1</v>
      </c>
      <c r="L114" s="10">
        <v>3.18</v>
      </c>
      <c r="M114" s="9">
        <v>270.10000000000002</v>
      </c>
      <c r="N114" s="9">
        <v>179.1</v>
      </c>
    </row>
    <row r="115" spans="1:14" ht="15" customHeight="1" x14ac:dyDescent="0.35">
      <c r="A115" s="8" t="s">
        <v>54</v>
      </c>
      <c r="B115" s="8" t="s">
        <v>44</v>
      </c>
      <c r="C115" s="8" t="s">
        <v>47</v>
      </c>
      <c r="D115" s="9">
        <v>90.4</v>
      </c>
      <c r="E115" s="9">
        <v>28.1</v>
      </c>
      <c r="F115" s="9">
        <v>13.5</v>
      </c>
      <c r="G115" s="9">
        <v>18.600000000000001</v>
      </c>
      <c r="H115" s="9">
        <v>11.1</v>
      </c>
      <c r="I115" s="9">
        <v>62.3</v>
      </c>
      <c r="J115" s="9">
        <v>19</v>
      </c>
      <c r="K115" s="10">
        <v>5.71</v>
      </c>
      <c r="L115" s="10">
        <v>2.92</v>
      </c>
      <c r="M115" s="9">
        <v>86.3</v>
      </c>
      <c r="N115" s="9">
        <v>75.7</v>
      </c>
    </row>
    <row r="116" spans="1:14" ht="15" customHeight="1" x14ac:dyDescent="0.35">
      <c r="A116" s="8" t="s">
        <v>54</v>
      </c>
      <c r="B116" s="8" t="s">
        <v>44</v>
      </c>
      <c r="C116" s="8" t="s">
        <v>48</v>
      </c>
      <c r="D116" s="9">
        <v>283.10000000000002</v>
      </c>
      <c r="E116" s="9">
        <v>88.1</v>
      </c>
      <c r="F116" s="9">
        <v>39.9</v>
      </c>
      <c r="G116" s="9">
        <v>55.4</v>
      </c>
      <c r="H116" s="9">
        <v>32.700000000000003</v>
      </c>
      <c r="I116" s="9">
        <v>195</v>
      </c>
      <c r="J116" s="9">
        <v>67</v>
      </c>
      <c r="K116" s="10">
        <v>5.81</v>
      </c>
      <c r="L116" s="10">
        <v>3.15</v>
      </c>
      <c r="M116" s="9">
        <v>277.5</v>
      </c>
      <c r="N116" s="9">
        <v>219.1</v>
      </c>
    </row>
    <row r="117" spans="1:14" ht="15" customHeight="1" x14ac:dyDescent="0.35">
      <c r="A117" s="8" t="s">
        <v>55</v>
      </c>
      <c r="B117" s="8" t="s">
        <v>29</v>
      </c>
      <c r="C117" s="8" t="s">
        <v>30</v>
      </c>
      <c r="D117" s="9">
        <v>379.8</v>
      </c>
      <c r="E117" s="9">
        <v>159.9</v>
      </c>
      <c r="F117" s="9">
        <v>39.200000000000003</v>
      </c>
      <c r="G117" s="9">
        <v>52.7</v>
      </c>
      <c r="H117" s="9">
        <v>11.6</v>
      </c>
      <c r="I117" s="9">
        <v>219.8</v>
      </c>
      <c r="J117" s="9">
        <v>116.3</v>
      </c>
      <c r="K117" s="10">
        <v>3.55</v>
      </c>
      <c r="L117" s="10">
        <v>4.4800000000000004</v>
      </c>
      <c r="M117" s="9">
        <v>363</v>
      </c>
      <c r="N117" s="9">
        <v>266.8</v>
      </c>
    </row>
    <row r="118" spans="1:14" ht="15" customHeight="1" x14ac:dyDescent="0.35">
      <c r="A118" s="8" t="s">
        <v>55</v>
      </c>
      <c r="B118" s="8" t="s">
        <v>29</v>
      </c>
      <c r="C118" s="8" t="s">
        <v>31</v>
      </c>
      <c r="D118" s="9">
        <v>232</v>
      </c>
      <c r="E118" s="9">
        <v>95.2</v>
      </c>
      <c r="F118" s="9">
        <v>25.9</v>
      </c>
      <c r="G118" s="9">
        <v>31.8</v>
      </c>
      <c r="H118" s="9">
        <v>7</v>
      </c>
      <c r="I118" s="9">
        <v>136.9</v>
      </c>
      <c r="J118" s="9">
        <v>72.099999999999994</v>
      </c>
      <c r="K118" s="10">
        <v>3.31</v>
      </c>
      <c r="L118" s="10">
        <v>4.4000000000000004</v>
      </c>
      <c r="M118" s="9">
        <v>239.9</v>
      </c>
      <c r="N118" s="9">
        <v>153.69999999999999</v>
      </c>
    </row>
    <row r="119" spans="1:14" ht="15" customHeight="1" x14ac:dyDescent="0.35">
      <c r="A119" s="8" t="s">
        <v>55</v>
      </c>
      <c r="B119" s="8" t="s">
        <v>29</v>
      </c>
      <c r="C119" s="8" t="s">
        <v>32</v>
      </c>
      <c r="D119" s="9">
        <v>275.89999999999998</v>
      </c>
      <c r="E119" s="9">
        <v>116.7</v>
      </c>
      <c r="F119" s="9">
        <v>25.4</v>
      </c>
      <c r="G119" s="9">
        <v>38.4</v>
      </c>
      <c r="H119" s="9">
        <v>7.9</v>
      </c>
      <c r="I119" s="9">
        <v>159.19999999999999</v>
      </c>
      <c r="J119" s="9">
        <v>87.5</v>
      </c>
      <c r="K119" s="10">
        <v>2.8</v>
      </c>
      <c r="L119" s="10">
        <v>4.0999999999999996</v>
      </c>
      <c r="M119" s="9">
        <v>267.60000000000002</v>
      </c>
      <c r="N119" s="9">
        <v>192.6</v>
      </c>
    </row>
    <row r="120" spans="1:14" ht="15" customHeight="1" x14ac:dyDescent="0.35">
      <c r="A120" s="8" t="s">
        <v>55</v>
      </c>
      <c r="B120" s="8" t="s">
        <v>29</v>
      </c>
      <c r="C120" s="8" t="s">
        <v>33</v>
      </c>
      <c r="D120" s="9">
        <v>112.6</v>
      </c>
      <c r="E120" s="9">
        <v>49.1</v>
      </c>
      <c r="F120" s="9">
        <v>10.6</v>
      </c>
      <c r="G120" s="9">
        <v>15.5</v>
      </c>
      <c r="H120" s="9">
        <v>3.2</v>
      </c>
      <c r="I120" s="9">
        <v>63.5</v>
      </c>
      <c r="J120" s="9">
        <v>34.200000000000003</v>
      </c>
      <c r="K120" s="10">
        <v>3.33</v>
      </c>
      <c r="L120" s="10">
        <v>4.41</v>
      </c>
      <c r="M120" s="9">
        <v>107.5</v>
      </c>
      <c r="N120" s="9">
        <v>83.4</v>
      </c>
    </row>
    <row r="121" spans="1:14" ht="15" customHeight="1" x14ac:dyDescent="0.35">
      <c r="A121" s="8" t="s">
        <v>55</v>
      </c>
      <c r="B121" s="8" t="s">
        <v>34</v>
      </c>
      <c r="C121" s="8" t="s">
        <v>35</v>
      </c>
      <c r="D121" s="9">
        <v>350.5</v>
      </c>
      <c r="E121" s="9">
        <v>202.1</v>
      </c>
      <c r="F121" s="9">
        <v>28.6</v>
      </c>
      <c r="G121" s="9">
        <v>43.2</v>
      </c>
      <c r="H121" s="9">
        <v>14</v>
      </c>
      <c r="I121" s="9">
        <v>148.4</v>
      </c>
      <c r="J121" s="9">
        <v>62.6</v>
      </c>
      <c r="K121" s="10">
        <v>2.5</v>
      </c>
      <c r="L121" s="10">
        <v>5.53</v>
      </c>
      <c r="M121" s="9">
        <v>371.4</v>
      </c>
      <c r="N121" s="9">
        <v>279</v>
      </c>
    </row>
    <row r="122" spans="1:14" ht="15" customHeight="1" x14ac:dyDescent="0.35">
      <c r="A122" s="8" t="s">
        <v>55</v>
      </c>
      <c r="B122" s="8" t="s">
        <v>34</v>
      </c>
      <c r="C122" s="8" t="s">
        <v>36</v>
      </c>
      <c r="D122" s="9">
        <v>236.6</v>
      </c>
      <c r="E122" s="9">
        <v>127.2</v>
      </c>
      <c r="F122" s="9">
        <v>17.7</v>
      </c>
      <c r="G122" s="9">
        <v>29.3</v>
      </c>
      <c r="H122" s="9">
        <v>9.1999999999999993</v>
      </c>
      <c r="I122" s="9">
        <v>109.5</v>
      </c>
      <c r="J122" s="9">
        <v>53.3</v>
      </c>
      <c r="K122" s="10">
        <v>2.74</v>
      </c>
      <c r="L122" s="10">
        <v>5.28</v>
      </c>
      <c r="M122" s="9">
        <v>231.3</v>
      </c>
      <c r="N122" s="9">
        <v>192</v>
      </c>
    </row>
    <row r="123" spans="1:14" ht="15" customHeight="1" x14ac:dyDescent="0.35">
      <c r="A123" s="8" t="s">
        <v>55</v>
      </c>
      <c r="B123" s="8" t="s">
        <v>34</v>
      </c>
      <c r="C123" s="8" t="s">
        <v>37</v>
      </c>
      <c r="D123" s="9">
        <v>576.79999999999995</v>
      </c>
      <c r="E123" s="9">
        <v>318.8</v>
      </c>
      <c r="F123" s="9">
        <v>47.2</v>
      </c>
      <c r="G123" s="9">
        <v>70.599999999999994</v>
      </c>
      <c r="H123" s="9">
        <v>22.4</v>
      </c>
      <c r="I123" s="9">
        <v>258</v>
      </c>
      <c r="J123" s="9">
        <v>117.8</v>
      </c>
      <c r="K123" s="10">
        <v>2.76</v>
      </c>
      <c r="L123" s="10">
        <v>6.13</v>
      </c>
      <c r="M123" s="9">
        <v>604.20000000000005</v>
      </c>
      <c r="N123" s="9">
        <v>450.7</v>
      </c>
    </row>
    <row r="124" spans="1:14" ht="15" customHeight="1" x14ac:dyDescent="0.35">
      <c r="A124" s="8" t="s">
        <v>55</v>
      </c>
      <c r="B124" s="8" t="s">
        <v>34</v>
      </c>
      <c r="C124" s="8" t="s">
        <v>38</v>
      </c>
      <c r="D124" s="9">
        <v>513.4</v>
      </c>
      <c r="E124" s="9">
        <v>270.5</v>
      </c>
      <c r="F124" s="9">
        <v>37.200000000000003</v>
      </c>
      <c r="G124" s="9">
        <v>60.9</v>
      </c>
      <c r="H124" s="9">
        <v>20.5</v>
      </c>
      <c r="I124" s="9">
        <v>242.9</v>
      </c>
      <c r="J124" s="9">
        <v>124.3</v>
      </c>
      <c r="K124" s="10">
        <v>2.67</v>
      </c>
      <c r="L124" s="10">
        <v>5.8</v>
      </c>
      <c r="M124" s="9">
        <v>544.9</v>
      </c>
      <c r="N124" s="9">
        <v>391.7</v>
      </c>
    </row>
    <row r="125" spans="1:14" ht="15" customHeight="1" x14ac:dyDescent="0.35">
      <c r="A125" s="8" t="s">
        <v>55</v>
      </c>
      <c r="B125" s="8" t="s">
        <v>39</v>
      </c>
      <c r="C125" s="8" t="s">
        <v>40</v>
      </c>
      <c r="D125" s="9">
        <v>175.7</v>
      </c>
      <c r="E125" s="9">
        <v>88.2</v>
      </c>
      <c r="F125" s="9">
        <v>17.399999999999999</v>
      </c>
      <c r="G125" s="9">
        <v>22.8</v>
      </c>
      <c r="H125" s="9">
        <v>8.6</v>
      </c>
      <c r="I125" s="9">
        <v>87.5</v>
      </c>
      <c r="J125" s="9">
        <v>38.700000000000003</v>
      </c>
      <c r="K125" s="10">
        <v>4.21</v>
      </c>
      <c r="L125" s="10">
        <v>4.18</v>
      </c>
      <c r="M125" s="9">
        <v>172.5</v>
      </c>
      <c r="N125" s="9">
        <v>140.9</v>
      </c>
    </row>
    <row r="126" spans="1:14" ht="15" customHeight="1" x14ac:dyDescent="0.35">
      <c r="A126" s="8" t="s">
        <v>55</v>
      </c>
      <c r="B126" s="8" t="s">
        <v>39</v>
      </c>
      <c r="C126" s="8" t="s">
        <v>41</v>
      </c>
      <c r="D126" s="9">
        <v>152.80000000000001</v>
      </c>
      <c r="E126" s="9">
        <v>75.599999999999994</v>
      </c>
      <c r="F126" s="9">
        <v>12.8</v>
      </c>
      <c r="G126" s="9">
        <v>20.3</v>
      </c>
      <c r="H126" s="9">
        <v>8</v>
      </c>
      <c r="I126" s="9">
        <v>77.2</v>
      </c>
      <c r="J126" s="9">
        <v>36.200000000000003</v>
      </c>
      <c r="K126" s="10">
        <v>3.71</v>
      </c>
      <c r="L126" s="10">
        <v>3.56</v>
      </c>
      <c r="M126" s="9">
        <v>167.4</v>
      </c>
      <c r="N126" s="9">
        <v>114.2</v>
      </c>
    </row>
    <row r="127" spans="1:14" ht="15" customHeight="1" x14ac:dyDescent="0.35">
      <c r="A127" s="8" t="s">
        <v>55</v>
      </c>
      <c r="B127" s="8" t="s">
        <v>39</v>
      </c>
      <c r="C127" s="8" t="s">
        <v>42</v>
      </c>
      <c r="D127" s="9">
        <v>428.8</v>
      </c>
      <c r="E127" s="9">
        <v>206.7</v>
      </c>
      <c r="F127" s="9">
        <v>36.799999999999997</v>
      </c>
      <c r="G127" s="9">
        <v>57.5</v>
      </c>
      <c r="H127" s="9">
        <v>21.3</v>
      </c>
      <c r="I127" s="9">
        <v>222.1</v>
      </c>
      <c r="J127" s="9">
        <v>106.5</v>
      </c>
      <c r="K127" s="10">
        <v>4.12</v>
      </c>
      <c r="L127" s="10">
        <v>3.67</v>
      </c>
      <c r="M127" s="9">
        <v>445.5</v>
      </c>
      <c r="N127" s="9">
        <v>315.2</v>
      </c>
    </row>
    <row r="128" spans="1:14" ht="15" customHeight="1" x14ac:dyDescent="0.35">
      <c r="A128" s="8" t="s">
        <v>55</v>
      </c>
      <c r="B128" s="8" t="s">
        <v>39</v>
      </c>
      <c r="C128" s="8" t="s">
        <v>43</v>
      </c>
      <c r="D128" s="9">
        <v>587.29999999999995</v>
      </c>
      <c r="E128" s="9">
        <v>297.89999999999998</v>
      </c>
      <c r="F128" s="9">
        <v>50.6</v>
      </c>
      <c r="G128" s="9">
        <v>77.599999999999994</v>
      </c>
      <c r="H128" s="9">
        <v>28.9</v>
      </c>
      <c r="I128" s="9">
        <v>289.5</v>
      </c>
      <c r="J128" s="9">
        <v>132.4</v>
      </c>
      <c r="K128" s="10">
        <v>4.4400000000000004</v>
      </c>
      <c r="L128" s="10">
        <v>3.46</v>
      </c>
      <c r="M128" s="9">
        <v>643.4</v>
      </c>
      <c r="N128" s="9">
        <v>459.4</v>
      </c>
    </row>
    <row r="129" spans="1:14" ht="15" customHeight="1" x14ac:dyDescent="0.35">
      <c r="A129" s="8" t="s">
        <v>55</v>
      </c>
      <c r="B129" s="8" t="s">
        <v>44</v>
      </c>
      <c r="C129" s="8" t="s">
        <v>45</v>
      </c>
      <c r="D129" s="9">
        <v>274.5</v>
      </c>
      <c r="E129" s="9">
        <v>79.7</v>
      </c>
      <c r="F129" s="9">
        <v>34.9</v>
      </c>
      <c r="G129" s="9">
        <v>56.1</v>
      </c>
      <c r="H129" s="9">
        <v>33.5</v>
      </c>
      <c r="I129" s="9">
        <v>194.7</v>
      </c>
      <c r="J129" s="9">
        <v>70.3</v>
      </c>
      <c r="K129" s="10">
        <v>5.46</v>
      </c>
      <c r="L129" s="10">
        <v>3.46</v>
      </c>
      <c r="M129" s="9">
        <v>293.89999999999998</v>
      </c>
      <c r="N129" s="9">
        <v>209.2</v>
      </c>
    </row>
    <row r="130" spans="1:14" ht="15" customHeight="1" x14ac:dyDescent="0.35">
      <c r="A130" s="8" t="s">
        <v>55</v>
      </c>
      <c r="B130" s="8" t="s">
        <v>44</v>
      </c>
      <c r="C130" s="8" t="s">
        <v>46</v>
      </c>
      <c r="D130" s="9">
        <v>138.19999999999999</v>
      </c>
      <c r="E130" s="9">
        <v>40.299999999999997</v>
      </c>
      <c r="F130" s="9">
        <v>17.899999999999999</v>
      </c>
      <c r="G130" s="9">
        <v>27.3</v>
      </c>
      <c r="H130" s="9">
        <v>15.8</v>
      </c>
      <c r="I130" s="9">
        <v>97.9</v>
      </c>
      <c r="J130" s="9">
        <v>36.799999999999997</v>
      </c>
      <c r="K130" s="10">
        <v>5.55</v>
      </c>
      <c r="L130" s="10">
        <v>3.54</v>
      </c>
      <c r="M130" s="9">
        <v>132.1</v>
      </c>
      <c r="N130" s="9">
        <v>98.7</v>
      </c>
    </row>
    <row r="131" spans="1:14" ht="15" customHeight="1" x14ac:dyDescent="0.35">
      <c r="A131" s="8" t="s">
        <v>55</v>
      </c>
      <c r="B131" s="8" t="s">
        <v>44</v>
      </c>
      <c r="C131" s="8" t="s">
        <v>47</v>
      </c>
      <c r="D131" s="9">
        <v>107.1</v>
      </c>
      <c r="E131" s="9">
        <v>33.799999999999997</v>
      </c>
      <c r="F131" s="9">
        <v>14.5</v>
      </c>
      <c r="G131" s="9">
        <v>21.5</v>
      </c>
      <c r="H131" s="9">
        <v>12.3</v>
      </c>
      <c r="I131" s="9">
        <v>73.3</v>
      </c>
      <c r="J131" s="9">
        <v>24.9</v>
      </c>
      <c r="K131" s="10">
        <v>4.92</v>
      </c>
      <c r="L131" s="10">
        <v>3.57</v>
      </c>
      <c r="M131" s="9">
        <v>117.3</v>
      </c>
      <c r="N131" s="9">
        <v>78.900000000000006</v>
      </c>
    </row>
    <row r="132" spans="1:14" ht="15" customHeight="1" x14ac:dyDescent="0.35">
      <c r="A132" s="8" t="s">
        <v>55</v>
      </c>
      <c r="B132" s="8" t="s">
        <v>44</v>
      </c>
      <c r="C132" s="8" t="s">
        <v>48</v>
      </c>
      <c r="D132" s="9">
        <v>236.8</v>
      </c>
      <c r="E132" s="9">
        <v>72.5</v>
      </c>
      <c r="F132" s="9">
        <v>36.200000000000003</v>
      </c>
      <c r="G132" s="9">
        <v>47.4</v>
      </c>
      <c r="H132" s="9">
        <v>28.5</v>
      </c>
      <c r="I132" s="9">
        <v>164.3</v>
      </c>
      <c r="J132" s="9">
        <v>52.2</v>
      </c>
      <c r="K132" s="10">
        <v>5.48</v>
      </c>
      <c r="L132" s="10">
        <v>3.33</v>
      </c>
      <c r="M132" s="9">
        <v>229.9</v>
      </c>
      <c r="N132" s="9">
        <v>177.8</v>
      </c>
    </row>
    <row r="133" spans="1:14" ht="15" customHeight="1" x14ac:dyDescent="0.35">
      <c r="A133" s="8" t="s">
        <v>56</v>
      </c>
      <c r="B133" s="8" t="s">
        <v>29</v>
      </c>
      <c r="C133" s="8" t="s">
        <v>30</v>
      </c>
      <c r="D133" s="9">
        <v>349.9</v>
      </c>
      <c r="E133" s="9">
        <v>153.19999999999999</v>
      </c>
      <c r="F133" s="9">
        <v>38.799999999999997</v>
      </c>
      <c r="G133" s="9">
        <v>49.9</v>
      </c>
      <c r="H133" s="9">
        <v>10.5</v>
      </c>
      <c r="I133" s="9">
        <v>196.8</v>
      </c>
      <c r="J133" s="9">
        <v>97.6</v>
      </c>
      <c r="K133" s="10">
        <v>3.31</v>
      </c>
      <c r="L133" s="10">
        <v>4.57</v>
      </c>
      <c r="M133" s="9">
        <v>362.4</v>
      </c>
      <c r="N133" s="9">
        <v>243.1</v>
      </c>
    </row>
    <row r="134" spans="1:14" ht="15" customHeight="1" x14ac:dyDescent="0.35">
      <c r="A134" s="8" t="s">
        <v>56</v>
      </c>
      <c r="B134" s="8" t="s">
        <v>29</v>
      </c>
      <c r="C134" s="8" t="s">
        <v>31</v>
      </c>
      <c r="D134" s="9">
        <v>117.4</v>
      </c>
      <c r="E134" s="9">
        <v>50.6</v>
      </c>
      <c r="F134" s="9">
        <v>12.3</v>
      </c>
      <c r="G134" s="9">
        <v>16.2</v>
      </c>
      <c r="H134" s="9">
        <v>3.6</v>
      </c>
      <c r="I134" s="9">
        <v>66.8</v>
      </c>
      <c r="J134" s="9">
        <v>34.700000000000003</v>
      </c>
      <c r="K134" s="10">
        <v>3.1</v>
      </c>
      <c r="L134" s="10">
        <v>4.3499999999999996</v>
      </c>
      <c r="M134" s="9">
        <v>113.4</v>
      </c>
      <c r="N134" s="9">
        <v>85.4</v>
      </c>
    </row>
    <row r="135" spans="1:14" ht="15" customHeight="1" x14ac:dyDescent="0.35">
      <c r="A135" s="8" t="s">
        <v>56</v>
      </c>
      <c r="B135" s="8" t="s">
        <v>29</v>
      </c>
      <c r="C135" s="8" t="s">
        <v>32</v>
      </c>
      <c r="D135" s="9">
        <v>153</v>
      </c>
      <c r="E135" s="9">
        <v>61.4</v>
      </c>
      <c r="F135" s="9">
        <v>17.100000000000001</v>
      </c>
      <c r="G135" s="9">
        <v>21.4</v>
      </c>
      <c r="H135" s="9">
        <v>4.8</v>
      </c>
      <c r="I135" s="9">
        <v>91.6</v>
      </c>
      <c r="J135" s="9">
        <v>48.4</v>
      </c>
      <c r="K135" s="10">
        <v>3.47</v>
      </c>
      <c r="L135" s="10">
        <v>4.2699999999999996</v>
      </c>
      <c r="M135" s="9">
        <v>162.30000000000001</v>
      </c>
      <c r="N135" s="9">
        <v>110.5</v>
      </c>
    </row>
    <row r="136" spans="1:14" ht="15" customHeight="1" x14ac:dyDescent="0.35">
      <c r="A136" s="8" t="s">
        <v>56</v>
      </c>
      <c r="B136" s="8" t="s">
        <v>29</v>
      </c>
      <c r="C136" s="8" t="s">
        <v>33</v>
      </c>
      <c r="D136" s="9">
        <v>466.6</v>
      </c>
      <c r="E136" s="9">
        <v>193.2</v>
      </c>
      <c r="F136" s="9">
        <v>48.8</v>
      </c>
      <c r="G136" s="9">
        <v>67.099999999999994</v>
      </c>
      <c r="H136" s="9">
        <v>14.4</v>
      </c>
      <c r="I136" s="9">
        <v>273.39999999999998</v>
      </c>
      <c r="J136" s="9">
        <v>143.1</v>
      </c>
      <c r="K136" s="10">
        <v>3.49</v>
      </c>
      <c r="L136" s="10">
        <v>4.1399999999999997</v>
      </c>
      <c r="M136" s="9">
        <v>500.5</v>
      </c>
      <c r="N136" s="9">
        <v>314.8</v>
      </c>
    </row>
    <row r="137" spans="1:14" ht="15" customHeight="1" x14ac:dyDescent="0.35">
      <c r="A137" s="8" t="s">
        <v>56</v>
      </c>
      <c r="B137" s="8" t="s">
        <v>34</v>
      </c>
      <c r="C137" s="8" t="s">
        <v>35</v>
      </c>
      <c r="D137" s="9">
        <v>331.4</v>
      </c>
      <c r="E137" s="9">
        <v>180.6</v>
      </c>
      <c r="F137" s="9">
        <v>25.2</v>
      </c>
      <c r="G137" s="9">
        <v>38.799999999999997</v>
      </c>
      <c r="H137" s="9">
        <v>13.4</v>
      </c>
      <c r="I137" s="9">
        <v>150.80000000000001</v>
      </c>
      <c r="J137" s="9">
        <v>73.400000000000006</v>
      </c>
      <c r="K137" s="10">
        <v>2.52</v>
      </c>
      <c r="L137" s="10">
        <v>5.66</v>
      </c>
      <c r="M137" s="9">
        <v>337.9</v>
      </c>
      <c r="N137" s="9">
        <v>258.5</v>
      </c>
    </row>
    <row r="138" spans="1:14" ht="15" customHeight="1" x14ac:dyDescent="0.35">
      <c r="A138" s="8" t="s">
        <v>56</v>
      </c>
      <c r="B138" s="8" t="s">
        <v>34</v>
      </c>
      <c r="C138" s="8" t="s">
        <v>36</v>
      </c>
      <c r="D138" s="9">
        <v>404.5</v>
      </c>
      <c r="E138" s="9">
        <v>224.1</v>
      </c>
      <c r="F138" s="9">
        <v>32.5</v>
      </c>
      <c r="G138" s="9">
        <v>47.2</v>
      </c>
      <c r="H138" s="9">
        <v>15.9</v>
      </c>
      <c r="I138" s="9">
        <v>180.5</v>
      </c>
      <c r="J138" s="9">
        <v>84.8</v>
      </c>
      <c r="K138" s="10">
        <v>2.31</v>
      </c>
      <c r="L138" s="10">
        <v>5.37</v>
      </c>
      <c r="M138" s="9">
        <v>419.5</v>
      </c>
      <c r="N138" s="9">
        <v>325.7</v>
      </c>
    </row>
    <row r="139" spans="1:14" ht="15" customHeight="1" x14ac:dyDescent="0.35">
      <c r="A139" s="8" t="s">
        <v>56</v>
      </c>
      <c r="B139" s="8" t="s">
        <v>34</v>
      </c>
      <c r="C139" s="8" t="s">
        <v>37</v>
      </c>
      <c r="D139" s="9">
        <v>804.4</v>
      </c>
      <c r="E139" s="9">
        <v>457.5</v>
      </c>
      <c r="F139" s="9">
        <v>69.400000000000006</v>
      </c>
      <c r="G139" s="9">
        <v>98.5</v>
      </c>
      <c r="H139" s="9">
        <v>33.6</v>
      </c>
      <c r="I139" s="9">
        <v>346.9</v>
      </c>
      <c r="J139" s="9">
        <v>145.30000000000001</v>
      </c>
      <c r="K139" s="10">
        <v>2.0499999999999998</v>
      </c>
      <c r="L139" s="10">
        <v>5.0999999999999996</v>
      </c>
      <c r="M139" s="9">
        <v>765</v>
      </c>
      <c r="N139" s="9">
        <v>679.6</v>
      </c>
    </row>
    <row r="140" spans="1:14" ht="15" customHeight="1" x14ac:dyDescent="0.35">
      <c r="A140" s="8" t="s">
        <v>56</v>
      </c>
      <c r="B140" s="8" t="s">
        <v>34</v>
      </c>
      <c r="C140" s="8" t="s">
        <v>38</v>
      </c>
      <c r="D140" s="9">
        <v>250</v>
      </c>
      <c r="E140" s="9">
        <v>134.30000000000001</v>
      </c>
      <c r="F140" s="9">
        <v>22.1</v>
      </c>
      <c r="G140" s="9">
        <v>29.2</v>
      </c>
      <c r="H140" s="9">
        <v>10.4</v>
      </c>
      <c r="I140" s="9">
        <v>115.7</v>
      </c>
      <c r="J140" s="9">
        <v>53.9</v>
      </c>
      <c r="K140" s="10">
        <v>2.29</v>
      </c>
      <c r="L140" s="10">
        <v>4.97</v>
      </c>
      <c r="M140" s="9">
        <v>255.7</v>
      </c>
      <c r="N140" s="9">
        <v>193.7</v>
      </c>
    </row>
    <row r="141" spans="1:14" ht="15" customHeight="1" x14ac:dyDescent="0.35">
      <c r="A141" s="8" t="s">
        <v>56</v>
      </c>
      <c r="B141" s="8" t="s">
        <v>39</v>
      </c>
      <c r="C141" s="8" t="s">
        <v>40</v>
      </c>
      <c r="D141" s="9">
        <v>253.8</v>
      </c>
      <c r="E141" s="9">
        <v>117.4</v>
      </c>
      <c r="F141" s="9">
        <v>21.5</v>
      </c>
      <c r="G141" s="9">
        <v>33.6</v>
      </c>
      <c r="H141" s="9">
        <v>12.3</v>
      </c>
      <c r="I141" s="9">
        <v>136.4</v>
      </c>
      <c r="J141" s="9">
        <v>69.099999999999994</v>
      </c>
      <c r="K141" s="10">
        <v>4.13</v>
      </c>
      <c r="L141" s="10">
        <v>3.99</v>
      </c>
      <c r="M141" s="9">
        <v>245.2</v>
      </c>
      <c r="N141" s="9">
        <v>188.8</v>
      </c>
    </row>
    <row r="142" spans="1:14" ht="15" customHeight="1" x14ac:dyDescent="0.35">
      <c r="A142" s="8" t="s">
        <v>56</v>
      </c>
      <c r="B142" s="8" t="s">
        <v>39</v>
      </c>
      <c r="C142" s="8" t="s">
        <v>41</v>
      </c>
      <c r="D142" s="9">
        <v>229.8</v>
      </c>
      <c r="E142" s="9">
        <v>116.5</v>
      </c>
      <c r="F142" s="9">
        <v>20.8</v>
      </c>
      <c r="G142" s="9">
        <v>30.7</v>
      </c>
      <c r="H142" s="9">
        <v>11.5</v>
      </c>
      <c r="I142" s="9">
        <v>113.3</v>
      </c>
      <c r="J142" s="9">
        <v>50.3</v>
      </c>
      <c r="K142" s="10">
        <v>3.54</v>
      </c>
      <c r="L142" s="10">
        <v>3.92</v>
      </c>
      <c r="M142" s="9">
        <v>251.1</v>
      </c>
      <c r="N142" s="9">
        <v>184.2</v>
      </c>
    </row>
    <row r="143" spans="1:14" ht="15" customHeight="1" x14ac:dyDescent="0.35">
      <c r="A143" s="8" t="s">
        <v>56</v>
      </c>
      <c r="B143" s="8" t="s">
        <v>39</v>
      </c>
      <c r="C143" s="8" t="s">
        <v>42</v>
      </c>
      <c r="D143" s="9">
        <v>743.8</v>
      </c>
      <c r="E143" s="9">
        <v>373.9</v>
      </c>
      <c r="F143" s="9">
        <v>63.6</v>
      </c>
      <c r="G143" s="9">
        <v>95.2</v>
      </c>
      <c r="H143" s="9">
        <v>37.6</v>
      </c>
      <c r="I143" s="9">
        <v>369.9</v>
      </c>
      <c r="J143" s="9">
        <v>173.5</v>
      </c>
      <c r="K143" s="10">
        <v>3.99</v>
      </c>
      <c r="L143" s="10">
        <v>4.1100000000000003</v>
      </c>
      <c r="M143" s="9">
        <v>807</v>
      </c>
      <c r="N143" s="9">
        <v>569.70000000000005</v>
      </c>
    </row>
    <row r="144" spans="1:14" ht="15" customHeight="1" x14ac:dyDescent="0.35">
      <c r="A144" s="8" t="s">
        <v>56</v>
      </c>
      <c r="B144" s="8" t="s">
        <v>39</v>
      </c>
      <c r="C144" s="8" t="s">
        <v>43</v>
      </c>
      <c r="D144" s="9">
        <v>166.7</v>
      </c>
      <c r="E144" s="9">
        <v>82.9</v>
      </c>
      <c r="F144" s="9">
        <v>14.4</v>
      </c>
      <c r="G144" s="9">
        <v>22.3</v>
      </c>
      <c r="H144" s="9">
        <v>8.3000000000000007</v>
      </c>
      <c r="I144" s="9">
        <v>83.8</v>
      </c>
      <c r="J144" s="9">
        <v>38.9</v>
      </c>
      <c r="K144" s="10">
        <v>4.3099999999999996</v>
      </c>
      <c r="L144" s="10">
        <v>3.43</v>
      </c>
      <c r="M144" s="9">
        <v>173.9</v>
      </c>
      <c r="N144" s="9">
        <v>129</v>
      </c>
    </row>
    <row r="145" spans="1:14" ht="15" customHeight="1" x14ac:dyDescent="0.35">
      <c r="A145" s="8" t="s">
        <v>56</v>
      </c>
      <c r="B145" s="8" t="s">
        <v>44</v>
      </c>
      <c r="C145" s="8" t="s">
        <v>45</v>
      </c>
      <c r="D145" s="9">
        <v>112.4</v>
      </c>
      <c r="E145" s="9">
        <v>34</v>
      </c>
      <c r="F145" s="9">
        <v>15</v>
      </c>
      <c r="G145" s="9">
        <v>22.4</v>
      </c>
      <c r="H145" s="9">
        <v>13.6</v>
      </c>
      <c r="I145" s="9">
        <v>78.3</v>
      </c>
      <c r="J145" s="9">
        <v>27.3</v>
      </c>
      <c r="K145" s="10">
        <v>5.49</v>
      </c>
      <c r="L145" s="10">
        <v>3.57</v>
      </c>
      <c r="M145" s="9">
        <v>109</v>
      </c>
      <c r="N145" s="9">
        <v>88.1</v>
      </c>
    </row>
    <row r="146" spans="1:14" ht="15" customHeight="1" x14ac:dyDescent="0.35">
      <c r="A146" s="8" t="s">
        <v>56</v>
      </c>
      <c r="B146" s="8" t="s">
        <v>44</v>
      </c>
      <c r="C146" s="8" t="s">
        <v>46</v>
      </c>
      <c r="D146" s="9">
        <v>255.1</v>
      </c>
      <c r="E146" s="9">
        <v>76.3</v>
      </c>
      <c r="F146" s="9">
        <v>37.799999999999997</v>
      </c>
      <c r="G146" s="9">
        <v>52</v>
      </c>
      <c r="H146" s="9">
        <v>32.1</v>
      </c>
      <c r="I146" s="9">
        <v>178.8</v>
      </c>
      <c r="J146" s="9">
        <v>56.9</v>
      </c>
      <c r="K146" s="10">
        <v>4.8899999999999997</v>
      </c>
      <c r="L146" s="10">
        <v>2.9</v>
      </c>
      <c r="M146" s="9">
        <v>270.10000000000002</v>
      </c>
      <c r="N146" s="9">
        <v>202.9</v>
      </c>
    </row>
    <row r="147" spans="1:14" ht="15" customHeight="1" x14ac:dyDescent="0.35">
      <c r="A147" s="8" t="s">
        <v>56</v>
      </c>
      <c r="B147" s="8" t="s">
        <v>44</v>
      </c>
      <c r="C147" s="8" t="s">
        <v>47</v>
      </c>
      <c r="D147" s="9">
        <v>193.3</v>
      </c>
      <c r="E147" s="9">
        <v>55.6</v>
      </c>
      <c r="F147" s="9">
        <v>24.9</v>
      </c>
      <c r="G147" s="9">
        <v>39.9</v>
      </c>
      <c r="H147" s="9">
        <v>22.5</v>
      </c>
      <c r="I147" s="9">
        <v>137.69999999999999</v>
      </c>
      <c r="J147" s="9">
        <v>50.4</v>
      </c>
      <c r="K147" s="10">
        <v>5.21</v>
      </c>
      <c r="L147" s="10">
        <v>2.99</v>
      </c>
      <c r="M147" s="9">
        <v>193.9</v>
      </c>
      <c r="N147" s="9">
        <v>138.30000000000001</v>
      </c>
    </row>
    <row r="148" spans="1:14" ht="15" customHeight="1" x14ac:dyDescent="0.35">
      <c r="A148" s="8" t="s">
        <v>56</v>
      </c>
      <c r="B148" s="8" t="s">
        <v>44</v>
      </c>
      <c r="C148" s="8" t="s">
        <v>48</v>
      </c>
      <c r="D148" s="9">
        <v>207.3</v>
      </c>
      <c r="E148" s="9">
        <v>59.5</v>
      </c>
      <c r="F148" s="9">
        <v>31.2</v>
      </c>
      <c r="G148" s="9">
        <v>40.9</v>
      </c>
      <c r="H148" s="9">
        <v>25</v>
      </c>
      <c r="I148" s="9">
        <v>147.69999999999999</v>
      </c>
      <c r="J148" s="9">
        <v>50.6</v>
      </c>
      <c r="K148" s="10">
        <v>6.13</v>
      </c>
      <c r="L148" s="10">
        <v>3.32</v>
      </c>
      <c r="M148" s="9">
        <v>213.5</v>
      </c>
      <c r="N148" s="9">
        <v>155.9</v>
      </c>
    </row>
    <row r="149" spans="1:14" ht="15" customHeight="1" x14ac:dyDescent="0.35">
      <c r="A149" s="8" t="s">
        <v>57</v>
      </c>
      <c r="B149" s="8" t="s">
        <v>29</v>
      </c>
      <c r="C149" s="8" t="s">
        <v>30</v>
      </c>
      <c r="D149" s="9">
        <v>357.9</v>
      </c>
      <c r="E149" s="9">
        <v>158.6</v>
      </c>
      <c r="F149" s="9">
        <v>33.6</v>
      </c>
      <c r="G149" s="9">
        <v>51</v>
      </c>
      <c r="H149" s="9">
        <v>10.4</v>
      </c>
      <c r="I149" s="9">
        <v>199.3</v>
      </c>
      <c r="J149" s="9">
        <v>104.2</v>
      </c>
      <c r="K149" s="10">
        <v>3.23</v>
      </c>
      <c r="L149" s="10">
        <v>3.79</v>
      </c>
      <c r="M149" s="9">
        <v>364.2</v>
      </c>
      <c r="N149" s="9">
        <v>264.60000000000002</v>
      </c>
    </row>
    <row r="150" spans="1:14" ht="15" customHeight="1" x14ac:dyDescent="0.35">
      <c r="A150" s="8" t="s">
        <v>57</v>
      </c>
      <c r="B150" s="8" t="s">
        <v>29</v>
      </c>
      <c r="C150" s="8" t="s">
        <v>31</v>
      </c>
      <c r="D150" s="9">
        <v>95.1</v>
      </c>
      <c r="E150" s="9">
        <v>40.9</v>
      </c>
      <c r="F150" s="9">
        <v>10.199999999999999</v>
      </c>
      <c r="G150" s="9">
        <v>13.8</v>
      </c>
      <c r="H150" s="9">
        <v>2.8</v>
      </c>
      <c r="I150" s="9">
        <v>54.3</v>
      </c>
      <c r="J150" s="9">
        <v>27.5</v>
      </c>
      <c r="K150" s="10">
        <v>3.1</v>
      </c>
      <c r="L150" s="10">
        <v>3.85</v>
      </c>
      <c r="M150" s="9">
        <v>104.5</v>
      </c>
      <c r="N150" s="9">
        <v>71.900000000000006</v>
      </c>
    </row>
    <row r="151" spans="1:14" ht="15" customHeight="1" x14ac:dyDescent="0.35">
      <c r="A151" s="8" t="s">
        <v>57</v>
      </c>
      <c r="B151" s="8" t="s">
        <v>29</v>
      </c>
      <c r="C151" s="8" t="s">
        <v>32</v>
      </c>
      <c r="D151" s="9">
        <v>429.4</v>
      </c>
      <c r="E151" s="9">
        <v>188</v>
      </c>
      <c r="F151" s="9">
        <v>43.6</v>
      </c>
      <c r="G151" s="9">
        <v>60.9</v>
      </c>
      <c r="H151" s="9">
        <v>12.4</v>
      </c>
      <c r="I151" s="9">
        <v>241.3</v>
      </c>
      <c r="J151" s="9">
        <v>124.5</v>
      </c>
      <c r="K151" s="10">
        <v>3.45</v>
      </c>
      <c r="L151" s="10">
        <v>3.82</v>
      </c>
      <c r="M151" s="9">
        <v>461.1</v>
      </c>
      <c r="N151" s="9">
        <v>318.89999999999998</v>
      </c>
    </row>
    <row r="152" spans="1:14" ht="15" customHeight="1" x14ac:dyDescent="0.35">
      <c r="A152" s="8" t="s">
        <v>57</v>
      </c>
      <c r="B152" s="8" t="s">
        <v>29</v>
      </c>
      <c r="C152" s="8" t="s">
        <v>33</v>
      </c>
      <c r="D152" s="9">
        <v>253</v>
      </c>
      <c r="E152" s="9">
        <v>101.4</v>
      </c>
      <c r="F152" s="9">
        <v>24.5</v>
      </c>
      <c r="G152" s="9">
        <v>35</v>
      </c>
      <c r="H152" s="9">
        <v>7.5</v>
      </c>
      <c r="I152" s="9">
        <v>151.6</v>
      </c>
      <c r="J152" s="9">
        <v>84.7</v>
      </c>
      <c r="K152" s="10">
        <v>2.8</v>
      </c>
      <c r="L152" s="10">
        <v>4.6399999999999997</v>
      </c>
      <c r="M152" s="9">
        <v>261.39999999999998</v>
      </c>
      <c r="N152" s="9">
        <v>167.2</v>
      </c>
    </row>
    <row r="153" spans="1:14" ht="15" customHeight="1" x14ac:dyDescent="0.35">
      <c r="A153" s="8" t="s">
        <v>57</v>
      </c>
      <c r="B153" s="8" t="s">
        <v>34</v>
      </c>
      <c r="C153" s="8" t="s">
        <v>35</v>
      </c>
      <c r="D153" s="9">
        <v>284.2</v>
      </c>
      <c r="E153" s="9">
        <v>164.5</v>
      </c>
      <c r="F153" s="9">
        <v>21</v>
      </c>
      <c r="G153" s="9">
        <v>35</v>
      </c>
      <c r="H153" s="9">
        <v>11.2</v>
      </c>
      <c r="I153" s="9">
        <v>119.7</v>
      </c>
      <c r="J153" s="9">
        <v>52.4</v>
      </c>
      <c r="K153" s="10">
        <v>2.67</v>
      </c>
      <c r="L153" s="10">
        <v>5.99</v>
      </c>
      <c r="M153" s="9">
        <v>304.3</v>
      </c>
      <c r="N153" s="9">
        <v>242.7</v>
      </c>
    </row>
    <row r="154" spans="1:14" ht="15" customHeight="1" x14ac:dyDescent="0.35">
      <c r="A154" s="8" t="s">
        <v>57</v>
      </c>
      <c r="B154" s="8" t="s">
        <v>34</v>
      </c>
      <c r="C154" s="8" t="s">
        <v>36</v>
      </c>
      <c r="D154" s="9">
        <v>133.80000000000001</v>
      </c>
      <c r="E154" s="9">
        <v>70.599999999999994</v>
      </c>
      <c r="F154" s="9">
        <v>10.6</v>
      </c>
      <c r="G154" s="9">
        <v>15.8</v>
      </c>
      <c r="H154" s="9">
        <v>5.5</v>
      </c>
      <c r="I154" s="9">
        <v>63.2</v>
      </c>
      <c r="J154" s="9">
        <v>31.4</v>
      </c>
      <c r="K154" s="10">
        <v>2.29</v>
      </c>
      <c r="L154" s="10">
        <v>6.13</v>
      </c>
      <c r="M154" s="9">
        <v>140</v>
      </c>
      <c r="N154" s="9">
        <v>107.6</v>
      </c>
    </row>
    <row r="155" spans="1:14" ht="15" customHeight="1" x14ac:dyDescent="0.35">
      <c r="A155" s="8" t="s">
        <v>57</v>
      </c>
      <c r="B155" s="8" t="s">
        <v>34</v>
      </c>
      <c r="C155" s="8" t="s">
        <v>37</v>
      </c>
      <c r="D155" s="9">
        <v>530.29999999999995</v>
      </c>
      <c r="E155" s="9">
        <v>304.7</v>
      </c>
      <c r="F155" s="9">
        <v>46.8</v>
      </c>
      <c r="G155" s="9">
        <v>63.9</v>
      </c>
      <c r="H155" s="9">
        <v>21.4</v>
      </c>
      <c r="I155" s="9">
        <v>225.6</v>
      </c>
      <c r="J155" s="9">
        <v>93.4</v>
      </c>
      <c r="K155" s="10">
        <v>2.59</v>
      </c>
      <c r="L155" s="10">
        <v>5.07</v>
      </c>
      <c r="M155" s="9">
        <v>543.79999999999995</v>
      </c>
      <c r="N155" s="9">
        <v>438.5</v>
      </c>
    </row>
    <row r="156" spans="1:14" ht="15" customHeight="1" x14ac:dyDescent="0.35">
      <c r="A156" s="8" t="s">
        <v>57</v>
      </c>
      <c r="B156" s="8" t="s">
        <v>34</v>
      </c>
      <c r="C156" s="8" t="s">
        <v>38</v>
      </c>
      <c r="D156" s="9">
        <v>802.5</v>
      </c>
      <c r="E156" s="9">
        <v>437.1</v>
      </c>
      <c r="F156" s="9">
        <v>58.7</v>
      </c>
      <c r="G156" s="9">
        <v>93.6</v>
      </c>
      <c r="H156" s="9">
        <v>30.9</v>
      </c>
      <c r="I156" s="9">
        <v>365.3</v>
      </c>
      <c r="J156" s="9">
        <v>182.1</v>
      </c>
      <c r="K156" s="10">
        <v>2.73</v>
      </c>
      <c r="L156" s="10">
        <v>5.57</v>
      </c>
      <c r="M156" s="9">
        <v>878.6</v>
      </c>
      <c r="N156" s="9">
        <v>625.1</v>
      </c>
    </row>
    <row r="157" spans="1:14" ht="15" customHeight="1" x14ac:dyDescent="0.35">
      <c r="A157" s="8" t="s">
        <v>57</v>
      </c>
      <c r="B157" s="8" t="s">
        <v>39</v>
      </c>
      <c r="C157" s="8" t="s">
        <v>40</v>
      </c>
      <c r="D157" s="9">
        <v>449.9</v>
      </c>
      <c r="E157" s="9">
        <v>206.6</v>
      </c>
      <c r="F157" s="9">
        <v>43.4</v>
      </c>
      <c r="G157" s="9">
        <v>58.6</v>
      </c>
      <c r="H157" s="9">
        <v>21.5</v>
      </c>
      <c r="I157" s="9">
        <v>243.3</v>
      </c>
      <c r="J157" s="9">
        <v>119.8</v>
      </c>
      <c r="K157" s="10">
        <v>4.71</v>
      </c>
      <c r="L157" s="10">
        <v>3.4</v>
      </c>
      <c r="M157" s="9">
        <v>474.3</v>
      </c>
      <c r="N157" s="9">
        <v>352.6</v>
      </c>
    </row>
    <row r="158" spans="1:14" ht="15" customHeight="1" x14ac:dyDescent="0.35">
      <c r="A158" s="8" t="s">
        <v>57</v>
      </c>
      <c r="B158" s="8" t="s">
        <v>39</v>
      </c>
      <c r="C158" s="8" t="s">
        <v>41</v>
      </c>
      <c r="D158" s="9">
        <v>124.7</v>
      </c>
      <c r="E158" s="9">
        <v>57.8</v>
      </c>
      <c r="F158" s="9">
        <v>10.4</v>
      </c>
      <c r="G158" s="9">
        <v>16.100000000000001</v>
      </c>
      <c r="H158" s="9">
        <v>6</v>
      </c>
      <c r="I158" s="9">
        <v>66.900000000000006</v>
      </c>
      <c r="J158" s="9">
        <v>34.4</v>
      </c>
      <c r="K158" s="10">
        <v>4.34</v>
      </c>
      <c r="L158" s="10">
        <v>3.4</v>
      </c>
      <c r="M158" s="9">
        <v>128</v>
      </c>
      <c r="N158" s="9">
        <v>96.5</v>
      </c>
    </row>
    <row r="159" spans="1:14" ht="15" customHeight="1" x14ac:dyDescent="0.35">
      <c r="A159" s="8" t="s">
        <v>57</v>
      </c>
      <c r="B159" s="8" t="s">
        <v>39</v>
      </c>
      <c r="C159" s="8" t="s">
        <v>42</v>
      </c>
      <c r="D159" s="9">
        <v>238</v>
      </c>
      <c r="E159" s="9">
        <v>116.3</v>
      </c>
      <c r="F159" s="9">
        <v>20.7</v>
      </c>
      <c r="G159" s="9">
        <v>31.4</v>
      </c>
      <c r="H159" s="9">
        <v>11.9</v>
      </c>
      <c r="I159" s="9">
        <v>121.8</v>
      </c>
      <c r="J159" s="9">
        <v>57.7</v>
      </c>
      <c r="K159" s="10">
        <v>4.01</v>
      </c>
      <c r="L159" s="10">
        <v>3.46</v>
      </c>
      <c r="M159" s="9">
        <v>257.8</v>
      </c>
      <c r="N159" s="9">
        <v>182</v>
      </c>
    </row>
    <row r="160" spans="1:14" ht="15" customHeight="1" x14ac:dyDescent="0.35">
      <c r="A160" s="8" t="s">
        <v>57</v>
      </c>
      <c r="B160" s="8" t="s">
        <v>39</v>
      </c>
      <c r="C160" s="8" t="s">
        <v>43</v>
      </c>
      <c r="D160" s="9">
        <v>590.29999999999995</v>
      </c>
      <c r="E160" s="9">
        <v>280.60000000000002</v>
      </c>
      <c r="F160" s="9">
        <v>52.7</v>
      </c>
      <c r="G160" s="9">
        <v>78.900000000000006</v>
      </c>
      <c r="H160" s="9">
        <v>30.2</v>
      </c>
      <c r="I160" s="9">
        <v>309.7</v>
      </c>
      <c r="J160" s="9">
        <v>147.9</v>
      </c>
      <c r="K160" s="10">
        <v>4.43</v>
      </c>
      <c r="L160" s="10">
        <v>3.35</v>
      </c>
      <c r="M160" s="9">
        <v>597.6</v>
      </c>
      <c r="N160" s="9">
        <v>448.1</v>
      </c>
    </row>
    <row r="161" spans="1:14" ht="15" customHeight="1" x14ac:dyDescent="0.35">
      <c r="A161" s="8" t="s">
        <v>57</v>
      </c>
      <c r="B161" s="8" t="s">
        <v>44</v>
      </c>
      <c r="C161" s="8" t="s">
        <v>45</v>
      </c>
      <c r="D161" s="9">
        <v>140.6</v>
      </c>
      <c r="E161" s="9">
        <v>44</v>
      </c>
      <c r="F161" s="9">
        <v>18.100000000000001</v>
      </c>
      <c r="G161" s="9">
        <v>28.2</v>
      </c>
      <c r="H161" s="9">
        <v>16.3</v>
      </c>
      <c r="I161" s="9">
        <v>96.6</v>
      </c>
      <c r="J161" s="9">
        <v>34</v>
      </c>
      <c r="K161" s="10">
        <v>5.21</v>
      </c>
      <c r="L161" s="10">
        <v>3.38</v>
      </c>
      <c r="M161" s="9">
        <v>143.6</v>
      </c>
      <c r="N161" s="9">
        <v>106.8</v>
      </c>
    </row>
    <row r="162" spans="1:14" ht="15" customHeight="1" x14ac:dyDescent="0.35">
      <c r="A162" s="8" t="s">
        <v>57</v>
      </c>
      <c r="B162" s="8" t="s">
        <v>44</v>
      </c>
      <c r="C162" s="8" t="s">
        <v>46</v>
      </c>
      <c r="D162" s="9">
        <v>229.1</v>
      </c>
      <c r="E162" s="9">
        <v>68.8</v>
      </c>
      <c r="F162" s="9">
        <v>34.4</v>
      </c>
      <c r="G162" s="9">
        <v>47.3</v>
      </c>
      <c r="H162" s="9">
        <v>28.7</v>
      </c>
      <c r="I162" s="9">
        <v>160.30000000000001</v>
      </c>
      <c r="J162" s="9">
        <v>49.9</v>
      </c>
      <c r="K162" s="10">
        <v>5.97</v>
      </c>
      <c r="L162" s="10">
        <v>3.06</v>
      </c>
      <c r="M162" s="9">
        <v>241.3</v>
      </c>
      <c r="N162" s="9">
        <v>180.7</v>
      </c>
    </row>
    <row r="163" spans="1:14" ht="15" customHeight="1" x14ac:dyDescent="0.35">
      <c r="A163" s="8" t="s">
        <v>57</v>
      </c>
      <c r="B163" s="8" t="s">
        <v>44</v>
      </c>
      <c r="C163" s="8" t="s">
        <v>47</v>
      </c>
      <c r="D163" s="9">
        <v>182.2</v>
      </c>
      <c r="E163" s="9">
        <v>57</v>
      </c>
      <c r="F163" s="9">
        <v>23.2</v>
      </c>
      <c r="G163" s="9">
        <v>37.6</v>
      </c>
      <c r="H163" s="9">
        <v>21.8</v>
      </c>
      <c r="I163" s="9">
        <v>125.2</v>
      </c>
      <c r="J163" s="9">
        <v>42.6</v>
      </c>
      <c r="K163" s="10">
        <v>5.73</v>
      </c>
      <c r="L163" s="10">
        <v>3.32</v>
      </c>
      <c r="M163" s="9">
        <v>197.6</v>
      </c>
      <c r="N163" s="9">
        <v>143.80000000000001</v>
      </c>
    </row>
    <row r="164" spans="1:14" ht="15" customHeight="1" x14ac:dyDescent="0.35">
      <c r="A164" s="8" t="s">
        <v>57</v>
      </c>
      <c r="B164" s="8" t="s">
        <v>44</v>
      </c>
      <c r="C164" s="8" t="s">
        <v>48</v>
      </c>
      <c r="D164" s="9">
        <v>259.7</v>
      </c>
      <c r="E164" s="9">
        <v>74.599999999999994</v>
      </c>
      <c r="F164" s="9">
        <v>36.9</v>
      </c>
      <c r="G164" s="9">
        <v>50.9</v>
      </c>
      <c r="H164" s="9">
        <v>31.9</v>
      </c>
      <c r="I164" s="9">
        <v>185.1</v>
      </c>
      <c r="J164" s="9">
        <v>65.400000000000006</v>
      </c>
      <c r="K164" s="10">
        <v>5.52</v>
      </c>
      <c r="L164" s="10">
        <v>3.34</v>
      </c>
      <c r="M164" s="9">
        <v>248.3</v>
      </c>
      <c r="N164" s="9">
        <v>188.3</v>
      </c>
    </row>
    <row r="165" spans="1:14" ht="15" customHeight="1" x14ac:dyDescent="0.35">
      <c r="A165" s="8" t="s">
        <v>58</v>
      </c>
      <c r="B165" s="8" t="s">
        <v>29</v>
      </c>
      <c r="C165" s="8" t="s">
        <v>30</v>
      </c>
      <c r="D165" s="9">
        <v>373.7</v>
      </c>
      <c r="E165" s="9">
        <v>152.30000000000001</v>
      </c>
      <c r="F165" s="9">
        <v>35.1</v>
      </c>
      <c r="G165" s="9">
        <v>51.1</v>
      </c>
      <c r="H165" s="9">
        <v>11.4</v>
      </c>
      <c r="I165" s="9">
        <v>221.4</v>
      </c>
      <c r="J165" s="9">
        <v>123.8</v>
      </c>
      <c r="K165" s="10">
        <v>3.45</v>
      </c>
      <c r="L165" s="10">
        <v>3.96</v>
      </c>
      <c r="M165" s="9">
        <v>356.2</v>
      </c>
      <c r="N165" s="9">
        <v>242.1</v>
      </c>
    </row>
    <row r="166" spans="1:14" ht="15" customHeight="1" x14ac:dyDescent="0.35">
      <c r="A166" s="8" t="s">
        <v>58</v>
      </c>
      <c r="B166" s="8" t="s">
        <v>29</v>
      </c>
      <c r="C166" s="8" t="s">
        <v>31</v>
      </c>
      <c r="D166" s="9">
        <v>524.4</v>
      </c>
      <c r="E166" s="9">
        <v>216.4</v>
      </c>
      <c r="F166" s="9">
        <v>56.1</v>
      </c>
      <c r="G166" s="9">
        <v>74.400000000000006</v>
      </c>
      <c r="H166" s="9">
        <v>15.5</v>
      </c>
      <c r="I166" s="9">
        <v>308</v>
      </c>
      <c r="J166" s="9">
        <v>162</v>
      </c>
      <c r="K166" s="10">
        <v>2.92</v>
      </c>
      <c r="L166" s="10">
        <v>3.82</v>
      </c>
      <c r="M166" s="9">
        <v>546.5</v>
      </c>
      <c r="N166" s="9">
        <v>378.8</v>
      </c>
    </row>
    <row r="167" spans="1:14" ht="15" customHeight="1" x14ac:dyDescent="0.35">
      <c r="A167" s="8" t="s">
        <v>58</v>
      </c>
      <c r="B167" s="8" t="s">
        <v>29</v>
      </c>
      <c r="C167" s="8" t="s">
        <v>32</v>
      </c>
      <c r="D167" s="9">
        <v>203.6</v>
      </c>
      <c r="E167" s="9">
        <v>86.2</v>
      </c>
      <c r="F167" s="9">
        <v>18.5</v>
      </c>
      <c r="G167" s="9">
        <v>29.6</v>
      </c>
      <c r="H167" s="9">
        <v>6.3</v>
      </c>
      <c r="I167" s="9">
        <v>117.4</v>
      </c>
      <c r="J167" s="9">
        <v>63</v>
      </c>
      <c r="K167" s="10">
        <v>3</v>
      </c>
      <c r="L167" s="10">
        <v>4.68</v>
      </c>
      <c r="M167" s="9">
        <v>211.8</v>
      </c>
      <c r="N167" s="9">
        <v>144</v>
      </c>
    </row>
    <row r="168" spans="1:14" ht="15" customHeight="1" x14ac:dyDescent="0.35">
      <c r="A168" s="8" t="s">
        <v>58</v>
      </c>
      <c r="B168" s="8" t="s">
        <v>29</v>
      </c>
      <c r="C168" s="8" t="s">
        <v>33</v>
      </c>
      <c r="D168" s="9">
        <v>264.60000000000002</v>
      </c>
      <c r="E168" s="9">
        <v>115.5</v>
      </c>
      <c r="F168" s="9">
        <v>27.6</v>
      </c>
      <c r="G168" s="9">
        <v>36.299999999999997</v>
      </c>
      <c r="H168" s="9">
        <v>7.8</v>
      </c>
      <c r="I168" s="9">
        <v>149.1</v>
      </c>
      <c r="J168" s="9">
        <v>77.400000000000006</v>
      </c>
      <c r="K168" s="10">
        <v>3.61</v>
      </c>
      <c r="L168" s="10">
        <v>3.92</v>
      </c>
      <c r="M168" s="9">
        <v>266.10000000000002</v>
      </c>
      <c r="N168" s="9">
        <v>188.6</v>
      </c>
    </row>
    <row r="169" spans="1:14" ht="15" customHeight="1" x14ac:dyDescent="0.35">
      <c r="A169" s="8" t="s">
        <v>58</v>
      </c>
      <c r="B169" s="8" t="s">
        <v>34</v>
      </c>
      <c r="C169" s="8" t="s">
        <v>35</v>
      </c>
      <c r="D169" s="9">
        <v>1087.3</v>
      </c>
      <c r="E169" s="9">
        <v>621.79999999999995</v>
      </c>
      <c r="F169" s="9">
        <v>94.8</v>
      </c>
      <c r="G169" s="9">
        <v>134.30000000000001</v>
      </c>
      <c r="H169" s="9">
        <v>45.3</v>
      </c>
      <c r="I169" s="9">
        <v>465.5</v>
      </c>
      <c r="J169" s="9">
        <v>191.1</v>
      </c>
      <c r="K169" s="10">
        <v>2.2200000000000002</v>
      </c>
      <c r="L169" s="10">
        <v>5.84</v>
      </c>
      <c r="M169" s="9">
        <v>1108.0999999999999</v>
      </c>
      <c r="N169" s="9">
        <v>943.3</v>
      </c>
    </row>
    <row r="170" spans="1:14" ht="15" customHeight="1" x14ac:dyDescent="0.35">
      <c r="A170" s="8" t="s">
        <v>58</v>
      </c>
      <c r="B170" s="8" t="s">
        <v>34</v>
      </c>
      <c r="C170" s="8" t="s">
        <v>36</v>
      </c>
      <c r="D170" s="9">
        <v>245.8</v>
      </c>
      <c r="E170" s="9">
        <v>140</v>
      </c>
      <c r="F170" s="9">
        <v>20.5</v>
      </c>
      <c r="G170" s="9">
        <v>29</v>
      </c>
      <c r="H170" s="9">
        <v>9.9</v>
      </c>
      <c r="I170" s="9">
        <v>105.8</v>
      </c>
      <c r="J170" s="9">
        <v>46.4</v>
      </c>
      <c r="K170" s="10">
        <v>2.75</v>
      </c>
      <c r="L170" s="10">
        <v>6.08</v>
      </c>
      <c r="M170" s="9">
        <v>235.1</v>
      </c>
      <c r="N170" s="9">
        <v>195</v>
      </c>
    </row>
    <row r="171" spans="1:14" ht="15" customHeight="1" x14ac:dyDescent="0.35">
      <c r="A171" s="8" t="s">
        <v>58</v>
      </c>
      <c r="B171" s="8" t="s">
        <v>34</v>
      </c>
      <c r="C171" s="8" t="s">
        <v>37</v>
      </c>
      <c r="D171" s="9">
        <v>376.1</v>
      </c>
      <c r="E171" s="9">
        <v>213</v>
      </c>
      <c r="F171" s="9">
        <v>32.5</v>
      </c>
      <c r="G171" s="9">
        <v>44.5</v>
      </c>
      <c r="H171" s="9">
        <v>15.1</v>
      </c>
      <c r="I171" s="9">
        <v>163.1</v>
      </c>
      <c r="J171" s="9">
        <v>71.099999999999994</v>
      </c>
      <c r="K171" s="10">
        <v>2.65</v>
      </c>
      <c r="L171" s="10">
        <v>5.81</v>
      </c>
      <c r="M171" s="9">
        <v>387.9</v>
      </c>
      <c r="N171" s="9">
        <v>312.60000000000002</v>
      </c>
    </row>
    <row r="172" spans="1:14" ht="15" customHeight="1" x14ac:dyDescent="0.35">
      <c r="A172" s="8" t="s">
        <v>58</v>
      </c>
      <c r="B172" s="8" t="s">
        <v>34</v>
      </c>
      <c r="C172" s="8" t="s">
        <v>38</v>
      </c>
      <c r="D172" s="9">
        <v>388.2</v>
      </c>
      <c r="E172" s="9">
        <v>209.8</v>
      </c>
      <c r="F172" s="9">
        <v>31.8</v>
      </c>
      <c r="G172" s="9">
        <v>47.4</v>
      </c>
      <c r="H172" s="9">
        <v>16.100000000000001</v>
      </c>
      <c r="I172" s="9">
        <v>178.4</v>
      </c>
      <c r="J172" s="9">
        <v>83</v>
      </c>
      <c r="K172" s="10">
        <v>2.5</v>
      </c>
      <c r="L172" s="10">
        <v>5.84</v>
      </c>
      <c r="M172" s="9">
        <v>378.1</v>
      </c>
      <c r="N172" s="9">
        <v>308.5</v>
      </c>
    </row>
    <row r="173" spans="1:14" ht="15" customHeight="1" x14ac:dyDescent="0.35">
      <c r="A173" s="8" t="s">
        <v>58</v>
      </c>
      <c r="B173" s="8" t="s">
        <v>39</v>
      </c>
      <c r="C173" s="8" t="s">
        <v>40</v>
      </c>
      <c r="D173" s="9">
        <v>302.39999999999998</v>
      </c>
      <c r="E173" s="9">
        <v>150.4</v>
      </c>
      <c r="F173" s="9">
        <v>27.8</v>
      </c>
      <c r="G173" s="9">
        <v>38.1</v>
      </c>
      <c r="H173" s="9">
        <v>15.5</v>
      </c>
      <c r="I173" s="9">
        <v>152</v>
      </c>
      <c r="J173" s="9">
        <v>70.5</v>
      </c>
      <c r="K173" s="10">
        <v>3.53</v>
      </c>
      <c r="L173" s="10">
        <v>4.0199999999999996</v>
      </c>
      <c r="M173" s="9">
        <v>296.5</v>
      </c>
      <c r="N173" s="9">
        <v>247</v>
      </c>
    </row>
    <row r="174" spans="1:14" ht="15" customHeight="1" x14ac:dyDescent="0.35">
      <c r="A174" s="8" t="s">
        <v>58</v>
      </c>
      <c r="B174" s="8" t="s">
        <v>39</v>
      </c>
      <c r="C174" s="8" t="s">
        <v>41</v>
      </c>
      <c r="D174" s="9">
        <v>209.4</v>
      </c>
      <c r="E174" s="9">
        <v>99.1</v>
      </c>
      <c r="F174" s="9">
        <v>17.600000000000001</v>
      </c>
      <c r="G174" s="9">
        <v>27</v>
      </c>
      <c r="H174" s="9">
        <v>10.9</v>
      </c>
      <c r="I174" s="9">
        <v>110.3</v>
      </c>
      <c r="J174" s="9">
        <v>54.9</v>
      </c>
      <c r="K174" s="10">
        <v>4.71</v>
      </c>
      <c r="L174" s="10">
        <v>3.68</v>
      </c>
      <c r="M174" s="9">
        <v>213</v>
      </c>
      <c r="N174" s="9">
        <v>160.6</v>
      </c>
    </row>
    <row r="175" spans="1:14" ht="15" customHeight="1" x14ac:dyDescent="0.35">
      <c r="A175" s="8" t="s">
        <v>58</v>
      </c>
      <c r="B175" s="8" t="s">
        <v>39</v>
      </c>
      <c r="C175" s="8" t="s">
        <v>42</v>
      </c>
      <c r="D175" s="9">
        <v>789.8</v>
      </c>
      <c r="E175" s="9">
        <v>384.9</v>
      </c>
      <c r="F175" s="9">
        <v>70.099999999999994</v>
      </c>
      <c r="G175" s="9">
        <v>102.6</v>
      </c>
      <c r="H175" s="9">
        <v>40.299999999999997</v>
      </c>
      <c r="I175" s="9">
        <v>404.9</v>
      </c>
      <c r="J175" s="9">
        <v>192</v>
      </c>
      <c r="K175" s="10">
        <v>3.49</v>
      </c>
      <c r="L175" s="10">
        <v>3.91</v>
      </c>
      <c r="M175" s="9">
        <v>792.4</v>
      </c>
      <c r="N175" s="9">
        <v>626.1</v>
      </c>
    </row>
    <row r="176" spans="1:14" ht="15" customHeight="1" x14ac:dyDescent="0.35">
      <c r="A176" s="8" t="s">
        <v>58</v>
      </c>
      <c r="B176" s="8" t="s">
        <v>39</v>
      </c>
      <c r="C176" s="8" t="s">
        <v>43</v>
      </c>
      <c r="D176" s="9">
        <v>394.8</v>
      </c>
      <c r="E176" s="9">
        <v>192.3</v>
      </c>
      <c r="F176" s="9">
        <v>35.700000000000003</v>
      </c>
      <c r="G176" s="9">
        <v>52.1</v>
      </c>
      <c r="H176" s="9">
        <v>18.899999999999999</v>
      </c>
      <c r="I176" s="9">
        <v>202.5</v>
      </c>
      <c r="J176" s="9">
        <v>95.8</v>
      </c>
      <c r="K176" s="10">
        <v>4.2</v>
      </c>
      <c r="L176" s="10">
        <v>3.86</v>
      </c>
      <c r="M176" s="9">
        <v>408.2</v>
      </c>
      <c r="N176" s="9">
        <v>306.89999999999998</v>
      </c>
    </row>
    <row r="177" spans="1:14" ht="15" customHeight="1" x14ac:dyDescent="0.35">
      <c r="A177" s="8" t="s">
        <v>58</v>
      </c>
      <c r="B177" s="8" t="s">
        <v>44</v>
      </c>
      <c r="C177" s="8" t="s">
        <v>45</v>
      </c>
      <c r="D177" s="9">
        <v>353.5</v>
      </c>
      <c r="E177" s="9">
        <v>109</v>
      </c>
      <c r="F177" s="9">
        <v>53.1</v>
      </c>
      <c r="G177" s="9">
        <v>71.099999999999994</v>
      </c>
      <c r="H177" s="9">
        <v>42.2</v>
      </c>
      <c r="I177" s="9">
        <v>244.5</v>
      </c>
      <c r="J177" s="9">
        <v>78.099999999999994</v>
      </c>
      <c r="K177" s="10">
        <v>4.92</v>
      </c>
      <c r="L177" s="10">
        <v>3.07</v>
      </c>
      <c r="M177" s="9">
        <v>358.9</v>
      </c>
      <c r="N177" s="9">
        <v>267.10000000000002</v>
      </c>
    </row>
    <row r="178" spans="1:14" ht="15" customHeight="1" x14ac:dyDescent="0.35">
      <c r="A178" s="8" t="s">
        <v>58</v>
      </c>
      <c r="B178" s="8" t="s">
        <v>44</v>
      </c>
      <c r="C178" s="8" t="s">
        <v>46</v>
      </c>
      <c r="D178" s="9">
        <v>265.10000000000002</v>
      </c>
      <c r="E178" s="9">
        <v>80.8</v>
      </c>
      <c r="F178" s="9">
        <v>39.4</v>
      </c>
      <c r="G178" s="9">
        <v>55.1</v>
      </c>
      <c r="H178" s="9">
        <v>33.200000000000003</v>
      </c>
      <c r="I178" s="9">
        <v>184.3</v>
      </c>
      <c r="J178" s="9">
        <v>56.6</v>
      </c>
      <c r="K178" s="10">
        <v>5.74</v>
      </c>
      <c r="L178" s="10">
        <v>3.14</v>
      </c>
      <c r="M178" s="9">
        <v>277.10000000000002</v>
      </c>
      <c r="N178" s="9">
        <v>218.2</v>
      </c>
    </row>
    <row r="179" spans="1:14" ht="15" customHeight="1" x14ac:dyDescent="0.35">
      <c r="A179" s="8" t="s">
        <v>58</v>
      </c>
      <c r="B179" s="8" t="s">
        <v>44</v>
      </c>
      <c r="C179" s="8" t="s">
        <v>47</v>
      </c>
      <c r="D179" s="9">
        <v>122.4</v>
      </c>
      <c r="E179" s="9">
        <v>36.5</v>
      </c>
      <c r="F179" s="9">
        <v>18.600000000000001</v>
      </c>
      <c r="G179" s="9">
        <v>24.4</v>
      </c>
      <c r="H179" s="9">
        <v>14.8</v>
      </c>
      <c r="I179" s="9">
        <v>85.9</v>
      </c>
      <c r="J179" s="9">
        <v>28.1</v>
      </c>
      <c r="K179" s="10">
        <v>5.64</v>
      </c>
      <c r="L179" s="10">
        <v>2.96</v>
      </c>
      <c r="M179" s="9">
        <v>122.9</v>
      </c>
      <c r="N179" s="9">
        <v>94</v>
      </c>
    </row>
    <row r="180" spans="1:14" ht="15" customHeight="1" x14ac:dyDescent="0.35">
      <c r="A180" s="8" t="s">
        <v>58</v>
      </c>
      <c r="B180" s="8" t="s">
        <v>44</v>
      </c>
      <c r="C180" s="8" t="s">
        <v>48</v>
      </c>
      <c r="D180" s="9">
        <v>190.7</v>
      </c>
      <c r="E180" s="9">
        <v>54.5</v>
      </c>
      <c r="F180" s="9">
        <v>28.9</v>
      </c>
      <c r="G180" s="9">
        <v>37.700000000000003</v>
      </c>
      <c r="H180" s="9">
        <v>22.9</v>
      </c>
      <c r="I180" s="9">
        <v>136.19999999999999</v>
      </c>
      <c r="J180" s="9">
        <v>46.6</v>
      </c>
      <c r="K180" s="10">
        <v>5.17</v>
      </c>
      <c r="L180" s="10">
        <v>3.54</v>
      </c>
      <c r="M180" s="9">
        <v>188.6</v>
      </c>
      <c r="N180" s="9">
        <v>145.1</v>
      </c>
    </row>
    <row r="181" spans="1:14" ht="15" customHeight="1" x14ac:dyDescent="0.35">
      <c r="A181" s="8" t="s">
        <v>59</v>
      </c>
      <c r="B181" s="8" t="s">
        <v>29</v>
      </c>
      <c r="C181" s="8" t="s">
        <v>30</v>
      </c>
      <c r="D181" s="9">
        <v>358.3</v>
      </c>
      <c r="E181" s="9">
        <v>145.6</v>
      </c>
      <c r="F181" s="9">
        <v>37.1</v>
      </c>
      <c r="G181" s="9">
        <v>49.1</v>
      </c>
      <c r="H181" s="9">
        <v>11</v>
      </c>
      <c r="I181" s="9">
        <v>212.7</v>
      </c>
      <c r="J181" s="9">
        <v>115.5</v>
      </c>
      <c r="K181" s="10">
        <v>3.35</v>
      </c>
      <c r="L181" s="10">
        <v>4.66</v>
      </c>
      <c r="M181" s="9">
        <v>344.1</v>
      </c>
      <c r="N181" s="9">
        <v>234.6</v>
      </c>
    </row>
    <row r="182" spans="1:14" ht="15" customHeight="1" x14ac:dyDescent="0.35">
      <c r="A182" s="8" t="s">
        <v>59</v>
      </c>
      <c r="B182" s="8" t="s">
        <v>29</v>
      </c>
      <c r="C182" s="8" t="s">
        <v>31</v>
      </c>
      <c r="D182" s="9">
        <v>191.6</v>
      </c>
      <c r="E182" s="9">
        <v>78.8</v>
      </c>
      <c r="F182" s="9">
        <v>18.3</v>
      </c>
      <c r="G182" s="9">
        <v>27.7</v>
      </c>
      <c r="H182" s="9">
        <v>5.6</v>
      </c>
      <c r="I182" s="9">
        <v>112.8</v>
      </c>
      <c r="J182" s="9">
        <v>61.2</v>
      </c>
      <c r="K182" s="10">
        <v>2.98</v>
      </c>
      <c r="L182" s="10">
        <v>4.46</v>
      </c>
      <c r="M182" s="9">
        <v>195</v>
      </c>
      <c r="N182" s="9">
        <v>136.30000000000001</v>
      </c>
    </row>
    <row r="183" spans="1:14" ht="15" customHeight="1" x14ac:dyDescent="0.35">
      <c r="A183" s="8" t="s">
        <v>59</v>
      </c>
      <c r="B183" s="8" t="s">
        <v>29</v>
      </c>
      <c r="C183" s="8" t="s">
        <v>32</v>
      </c>
      <c r="D183" s="9">
        <v>243.8</v>
      </c>
      <c r="E183" s="9">
        <v>102.8</v>
      </c>
      <c r="F183" s="9">
        <v>22.1</v>
      </c>
      <c r="G183" s="9">
        <v>33.299999999999997</v>
      </c>
      <c r="H183" s="9">
        <v>7.6</v>
      </c>
      <c r="I183" s="9">
        <v>141</v>
      </c>
      <c r="J183" s="9">
        <v>78.099999999999994</v>
      </c>
      <c r="K183" s="10">
        <v>2.85</v>
      </c>
      <c r="L183" s="10">
        <v>4.2300000000000004</v>
      </c>
      <c r="M183" s="9">
        <v>246.7</v>
      </c>
      <c r="N183" s="9">
        <v>165.5</v>
      </c>
    </row>
    <row r="184" spans="1:14" ht="15" customHeight="1" x14ac:dyDescent="0.35">
      <c r="A184" s="8" t="s">
        <v>59</v>
      </c>
      <c r="B184" s="8" t="s">
        <v>29</v>
      </c>
      <c r="C184" s="8" t="s">
        <v>33</v>
      </c>
      <c r="D184" s="9">
        <v>633.70000000000005</v>
      </c>
      <c r="E184" s="9">
        <v>253.5</v>
      </c>
      <c r="F184" s="9">
        <v>66.3</v>
      </c>
      <c r="G184" s="9">
        <v>92</v>
      </c>
      <c r="H184" s="9">
        <v>19.100000000000001</v>
      </c>
      <c r="I184" s="9">
        <v>380.2</v>
      </c>
      <c r="J184" s="9">
        <v>202.8</v>
      </c>
      <c r="K184" s="10">
        <v>3.62</v>
      </c>
      <c r="L184" s="10">
        <v>3.75</v>
      </c>
      <c r="M184" s="9">
        <v>641.9</v>
      </c>
      <c r="N184" s="9">
        <v>426.1</v>
      </c>
    </row>
    <row r="185" spans="1:14" ht="15" customHeight="1" x14ac:dyDescent="0.35">
      <c r="A185" s="8" t="s">
        <v>59</v>
      </c>
      <c r="B185" s="8" t="s">
        <v>34</v>
      </c>
      <c r="C185" s="8" t="s">
        <v>35</v>
      </c>
      <c r="D185" s="9">
        <v>760.1</v>
      </c>
      <c r="E185" s="9">
        <v>404.1</v>
      </c>
      <c r="F185" s="9">
        <v>57.7</v>
      </c>
      <c r="G185" s="9">
        <v>90.1</v>
      </c>
      <c r="H185" s="9">
        <v>31.5</v>
      </c>
      <c r="I185" s="9">
        <v>356</v>
      </c>
      <c r="J185" s="9">
        <v>176.7</v>
      </c>
      <c r="K185" s="10">
        <v>2.44</v>
      </c>
      <c r="L185" s="10">
        <v>5.53</v>
      </c>
      <c r="M185" s="9">
        <v>735.2</v>
      </c>
      <c r="N185" s="9">
        <v>615.20000000000005</v>
      </c>
    </row>
    <row r="186" spans="1:14" ht="15" customHeight="1" x14ac:dyDescent="0.35">
      <c r="A186" s="8" t="s">
        <v>59</v>
      </c>
      <c r="B186" s="8" t="s">
        <v>34</v>
      </c>
      <c r="C186" s="8" t="s">
        <v>36</v>
      </c>
      <c r="D186" s="9">
        <v>271.7</v>
      </c>
      <c r="E186" s="9">
        <v>143.1</v>
      </c>
      <c r="F186" s="9">
        <v>22.9</v>
      </c>
      <c r="G186" s="9">
        <v>32.9</v>
      </c>
      <c r="H186" s="9">
        <v>10.4</v>
      </c>
      <c r="I186" s="9">
        <v>128.6</v>
      </c>
      <c r="J186" s="9">
        <v>62.4</v>
      </c>
      <c r="K186" s="10">
        <v>2.37</v>
      </c>
      <c r="L186" s="10">
        <v>5.48</v>
      </c>
      <c r="M186" s="9">
        <v>264.89999999999998</v>
      </c>
      <c r="N186" s="9">
        <v>222.7</v>
      </c>
    </row>
    <row r="187" spans="1:14" ht="15" customHeight="1" x14ac:dyDescent="0.35">
      <c r="A187" s="8" t="s">
        <v>59</v>
      </c>
      <c r="B187" s="8" t="s">
        <v>34</v>
      </c>
      <c r="C187" s="8" t="s">
        <v>37</v>
      </c>
      <c r="D187" s="9">
        <v>733.1</v>
      </c>
      <c r="E187" s="9">
        <v>412.7</v>
      </c>
      <c r="F187" s="9">
        <v>58.7</v>
      </c>
      <c r="G187" s="9">
        <v>87.9</v>
      </c>
      <c r="H187" s="9">
        <v>29.8</v>
      </c>
      <c r="I187" s="9">
        <v>320.39999999999998</v>
      </c>
      <c r="J187" s="9">
        <v>144</v>
      </c>
      <c r="K187" s="10">
        <v>2.4300000000000002</v>
      </c>
      <c r="L187" s="10">
        <v>4.92</v>
      </c>
      <c r="M187" s="9">
        <v>752.8</v>
      </c>
      <c r="N187" s="9">
        <v>617.79999999999995</v>
      </c>
    </row>
    <row r="188" spans="1:14" ht="15" customHeight="1" x14ac:dyDescent="0.35">
      <c r="A188" s="8" t="s">
        <v>59</v>
      </c>
      <c r="B188" s="8" t="s">
        <v>34</v>
      </c>
      <c r="C188" s="8" t="s">
        <v>38</v>
      </c>
      <c r="D188" s="9">
        <v>535.6</v>
      </c>
      <c r="E188" s="9">
        <v>281.5</v>
      </c>
      <c r="F188" s="9">
        <v>46</v>
      </c>
      <c r="G188" s="9">
        <v>63.3</v>
      </c>
      <c r="H188" s="9">
        <v>20.9</v>
      </c>
      <c r="I188" s="9">
        <v>254.1</v>
      </c>
      <c r="J188" s="9">
        <v>123.9</v>
      </c>
      <c r="K188" s="10">
        <v>2.16</v>
      </c>
      <c r="L188" s="10">
        <v>5.28</v>
      </c>
      <c r="M188" s="9">
        <v>569.6</v>
      </c>
      <c r="N188" s="9">
        <v>418.7</v>
      </c>
    </row>
    <row r="189" spans="1:14" ht="15" customHeight="1" x14ac:dyDescent="0.35">
      <c r="A189" s="8" t="s">
        <v>59</v>
      </c>
      <c r="B189" s="8" t="s">
        <v>39</v>
      </c>
      <c r="C189" s="8" t="s">
        <v>40</v>
      </c>
      <c r="D189" s="9">
        <v>599.20000000000005</v>
      </c>
      <c r="E189" s="9">
        <v>275.3</v>
      </c>
      <c r="F189" s="9">
        <v>54</v>
      </c>
      <c r="G189" s="9">
        <v>80.5</v>
      </c>
      <c r="H189" s="9">
        <v>30.1</v>
      </c>
      <c r="I189" s="9">
        <v>323.89999999999998</v>
      </c>
      <c r="J189" s="9">
        <v>159.30000000000001</v>
      </c>
      <c r="K189" s="10">
        <v>4.0999999999999996</v>
      </c>
      <c r="L189" s="10">
        <v>3.44</v>
      </c>
      <c r="M189" s="9">
        <v>628.29999999999995</v>
      </c>
      <c r="N189" s="9">
        <v>462.1</v>
      </c>
    </row>
    <row r="190" spans="1:14" ht="15" customHeight="1" x14ac:dyDescent="0.35">
      <c r="A190" s="8" t="s">
        <v>59</v>
      </c>
      <c r="B190" s="8" t="s">
        <v>39</v>
      </c>
      <c r="C190" s="8" t="s">
        <v>41</v>
      </c>
      <c r="D190" s="9">
        <v>471.6</v>
      </c>
      <c r="E190" s="9">
        <v>234.4</v>
      </c>
      <c r="F190" s="9">
        <v>47.2</v>
      </c>
      <c r="G190" s="9">
        <v>60.3</v>
      </c>
      <c r="H190" s="9">
        <v>23.6</v>
      </c>
      <c r="I190" s="9">
        <v>237.2</v>
      </c>
      <c r="J190" s="9">
        <v>106</v>
      </c>
      <c r="K190" s="10">
        <v>3.84</v>
      </c>
      <c r="L190" s="10">
        <v>4.07</v>
      </c>
      <c r="M190" s="9">
        <v>488.9</v>
      </c>
      <c r="N190" s="9">
        <v>376.4</v>
      </c>
    </row>
    <row r="191" spans="1:14" ht="15" customHeight="1" x14ac:dyDescent="0.35">
      <c r="A191" s="8" t="s">
        <v>59</v>
      </c>
      <c r="B191" s="8" t="s">
        <v>39</v>
      </c>
      <c r="C191" s="8" t="s">
        <v>42</v>
      </c>
      <c r="D191" s="9">
        <v>492.9</v>
      </c>
      <c r="E191" s="9">
        <v>235.1</v>
      </c>
      <c r="F191" s="9">
        <v>48.9</v>
      </c>
      <c r="G191" s="9">
        <v>64.5</v>
      </c>
      <c r="H191" s="9">
        <v>23.8</v>
      </c>
      <c r="I191" s="9">
        <v>257.8</v>
      </c>
      <c r="J191" s="9">
        <v>120.6</v>
      </c>
      <c r="K191" s="10">
        <v>4.34</v>
      </c>
      <c r="L191" s="10">
        <v>4.07</v>
      </c>
      <c r="M191" s="9">
        <v>491.7</v>
      </c>
      <c r="N191" s="9">
        <v>392.5</v>
      </c>
    </row>
    <row r="192" spans="1:14" ht="15" customHeight="1" x14ac:dyDescent="0.35">
      <c r="A192" s="8" t="s">
        <v>59</v>
      </c>
      <c r="B192" s="8" t="s">
        <v>39</v>
      </c>
      <c r="C192" s="8" t="s">
        <v>43</v>
      </c>
      <c r="D192" s="9">
        <v>225.9</v>
      </c>
      <c r="E192" s="9">
        <v>106.3</v>
      </c>
      <c r="F192" s="9">
        <v>22.7</v>
      </c>
      <c r="G192" s="9">
        <v>28.8</v>
      </c>
      <c r="H192" s="9">
        <v>11</v>
      </c>
      <c r="I192" s="9">
        <v>119.6</v>
      </c>
      <c r="J192" s="9">
        <v>57.2</v>
      </c>
      <c r="K192" s="10">
        <v>3.71</v>
      </c>
      <c r="L192" s="10">
        <v>4.16</v>
      </c>
      <c r="M192" s="9">
        <v>236.8</v>
      </c>
      <c r="N192" s="9">
        <v>164.8</v>
      </c>
    </row>
    <row r="193" spans="1:14" ht="15" customHeight="1" x14ac:dyDescent="0.35">
      <c r="A193" s="8" t="s">
        <v>59</v>
      </c>
      <c r="B193" s="8" t="s">
        <v>44</v>
      </c>
      <c r="C193" s="8" t="s">
        <v>45</v>
      </c>
      <c r="D193" s="9">
        <v>460.6</v>
      </c>
      <c r="E193" s="9">
        <v>141.4</v>
      </c>
      <c r="F193" s="9">
        <v>67</v>
      </c>
      <c r="G193" s="9">
        <v>90.4</v>
      </c>
      <c r="H193" s="9">
        <v>57.4</v>
      </c>
      <c r="I193" s="9">
        <v>319.2</v>
      </c>
      <c r="J193" s="9">
        <v>104.3</v>
      </c>
      <c r="K193" s="10">
        <v>5.38</v>
      </c>
      <c r="L193" s="10">
        <v>2.94</v>
      </c>
      <c r="M193" s="9">
        <v>438.4</v>
      </c>
      <c r="N193" s="9">
        <v>363.9</v>
      </c>
    </row>
    <row r="194" spans="1:14" ht="15" customHeight="1" x14ac:dyDescent="0.35">
      <c r="A194" s="8" t="s">
        <v>59</v>
      </c>
      <c r="B194" s="8" t="s">
        <v>44</v>
      </c>
      <c r="C194" s="8" t="s">
        <v>46</v>
      </c>
      <c r="D194" s="9">
        <v>92.3</v>
      </c>
      <c r="E194" s="9">
        <v>28.5</v>
      </c>
      <c r="F194" s="9">
        <v>14.2</v>
      </c>
      <c r="G194" s="9">
        <v>18</v>
      </c>
      <c r="H194" s="9">
        <v>11.3</v>
      </c>
      <c r="I194" s="9">
        <v>63.8</v>
      </c>
      <c r="J194" s="9">
        <v>20.3</v>
      </c>
      <c r="K194" s="10">
        <v>4.9800000000000004</v>
      </c>
      <c r="L194" s="10">
        <v>3.48</v>
      </c>
      <c r="M194" s="9">
        <v>99</v>
      </c>
      <c r="N194" s="9">
        <v>73.400000000000006</v>
      </c>
    </row>
    <row r="195" spans="1:14" ht="15" customHeight="1" x14ac:dyDescent="0.35">
      <c r="A195" s="8" t="s">
        <v>59</v>
      </c>
      <c r="B195" s="8" t="s">
        <v>44</v>
      </c>
      <c r="C195" s="8" t="s">
        <v>47</v>
      </c>
      <c r="D195" s="9">
        <v>178.3</v>
      </c>
      <c r="E195" s="9">
        <v>52.7</v>
      </c>
      <c r="F195" s="9">
        <v>25</v>
      </c>
      <c r="G195" s="9">
        <v>36.6</v>
      </c>
      <c r="H195" s="9">
        <v>21.3</v>
      </c>
      <c r="I195" s="9">
        <v>125.6</v>
      </c>
      <c r="J195" s="9">
        <v>42.6</v>
      </c>
      <c r="K195" s="10">
        <v>5.27</v>
      </c>
      <c r="L195" s="10">
        <v>3.2</v>
      </c>
      <c r="M195" s="9">
        <v>191.5</v>
      </c>
      <c r="N195" s="9">
        <v>135.19999999999999</v>
      </c>
    </row>
    <row r="196" spans="1:14" ht="15" customHeight="1" x14ac:dyDescent="0.35">
      <c r="A196" s="8" t="s">
        <v>59</v>
      </c>
      <c r="B196" s="8" t="s">
        <v>44</v>
      </c>
      <c r="C196" s="8" t="s">
        <v>48</v>
      </c>
      <c r="D196" s="9">
        <v>312.10000000000002</v>
      </c>
      <c r="E196" s="9">
        <v>96.3</v>
      </c>
      <c r="F196" s="9">
        <v>47.3</v>
      </c>
      <c r="G196" s="9">
        <v>61</v>
      </c>
      <c r="H196" s="9">
        <v>36.5</v>
      </c>
      <c r="I196" s="9">
        <v>215.8</v>
      </c>
      <c r="J196" s="9">
        <v>71.099999999999994</v>
      </c>
      <c r="K196" s="10">
        <v>4.91</v>
      </c>
      <c r="L196" s="10">
        <v>3.08</v>
      </c>
      <c r="M196" s="9">
        <v>317.60000000000002</v>
      </c>
      <c r="N196" s="9">
        <v>251.2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zoomScale="73" zoomScaleNormal="100" workbookViewId="0">
      <selection activeCell="I11" sqref="I1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6" customWidth="1"/>
    <col min="4" max="4" width="15" customWidth="1"/>
    <col min="5" max="5" width="14" customWidth="1"/>
    <col min="6" max="7" width="13" customWidth="1"/>
    <col min="8" max="9" width="12" customWidth="1"/>
    <col min="10" max="10" width="11" customWidth="1"/>
    <col min="12" max="14" width="12" customWidth="1"/>
    <col min="15" max="15" width="13" customWidth="1"/>
  </cols>
  <sheetData>
    <row r="1" spans="1:15" ht="25.5" customHeight="1" x14ac:dyDescent="0.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5" customHeight="1" x14ac:dyDescent="0.35">
      <c r="A2" s="42" t="s">
        <v>61</v>
      </c>
      <c r="B2" s="42"/>
      <c r="C2" s="42"/>
      <c r="D2" s="42"/>
      <c r="E2" s="42"/>
      <c r="F2" s="42"/>
      <c r="G2" s="42"/>
      <c r="H2" s="42"/>
      <c r="I2" s="42"/>
      <c r="J2" s="42"/>
    </row>
    <row r="4" spans="1:15" ht="23.25" customHeight="1" x14ac:dyDescent="0.35">
      <c r="A4" s="7" t="s">
        <v>14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62</v>
      </c>
      <c r="G4" s="7" t="s">
        <v>22</v>
      </c>
      <c r="H4" s="7" t="s">
        <v>23</v>
      </c>
      <c r="I4" s="7" t="s">
        <v>63</v>
      </c>
      <c r="J4" s="7" t="s">
        <v>26</v>
      </c>
      <c r="L4" s="11" t="s">
        <v>64</v>
      </c>
      <c r="M4" s="11" t="s">
        <v>65</v>
      </c>
      <c r="N4" s="11" t="s">
        <v>66</v>
      </c>
      <c r="O4" s="11" t="s">
        <v>67</v>
      </c>
    </row>
    <row r="5" spans="1:15" ht="15" customHeight="1" x14ac:dyDescent="0.35">
      <c r="A5" s="12" t="s">
        <v>28</v>
      </c>
      <c r="B5" s="13">
        <f>SUMIF(Raw_Data!$A$5:$A$196,$A5,Raw_Data!$D$5:$D$196)</f>
        <v>3945.6000000000004</v>
      </c>
      <c r="C5" s="13">
        <f>SUMIF(Raw_Data!$A$5:$A$196,$A5,Raw_Data!$E$5:$E$196)</f>
        <v>1864.1000000000004</v>
      </c>
      <c r="D5" s="13">
        <f>SUMIF(Raw_Data!$A$5:$A$196,$A5,Raw_Data!$F$5:$F$196)</f>
        <v>377.39999999999992</v>
      </c>
      <c r="E5" s="13">
        <f>SUMIF(Raw_Data!$A$5:$A$196,$A5,Raw_Data!$G$5:$G$196)</f>
        <v>554.6</v>
      </c>
      <c r="F5" s="13">
        <f>SUMIF(Raw_Data!$A$5:$A$196,$A5,Raw_Data!$H$5:$H$196)</f>
        <v>206.3</v>
      </c>
      <c r="G5" s="13">
        <f>SUMIF(Raw_Data!$A$5:$A$196,$A5,Raw_Data!$I$5:$I$196)</f>
        <v>2081.6</v>
      </c>
      <c r="H5" s="13">
        <f>SUMIF(Raw_Data!$A$5:$A$196,$A5,Raw_Data!$J$5:$J$196)</f>
        <v>943.19999999999993</v>
      </c>
      <c r="I5" s="13">
        <f t="shared" ref="I5:I16" si="0">C5+D5+E5+F5</f>
        <v>3002.4000000000005</v>
      </c>
      <c r="J5" s="13">
        <f>SUMIF(Raw_Data!$A$5:$A$196,$A5,Raw_Data!$M$5:$M$196)</f>
        <v>4049.6</v>
      </c>
      <c r="L5" s="14" t="s">
        <v>68</v>
      </c>
      <c r="M5" s="15">
        <f t="shared" ref="M5:M16" si="1">G5/B5</f>
        <v>0.5275750202757501</v>
      </c>
      <c r="N5" s="15">
        <f t="shared" ref="N5:N16" si="2">H5/B5</f>
        <v>0.23905109489051091</v>
      </c>
      <c r="O5" s="15">
        <f t="shared" ref="O5:O16" si="3">I5/B5</f>
        <v>0.76094890510948909</v>
      </c>
    </row>
    <row r="6" spans="1:15" ht="15" customHeight="1" x14ac:dyDescent="0.35">
      <c r="A6" s="12" t="s">
        <v>49</v>
      </c>
      <c r="B6" s="13">
        <f>SUMIF(Raw_Data!$A$5:$A$196,$A6,Raw_Data!$D$5:$D$196)</f>
        <v>4107.9999999999991</v>
      </c>
      <c r="C6" s="13">
        <f>SUMIF(Raw_Data!$A$5:$A$196,$A6,Raw_Data!$E$5:$E$196)</f>
        <v>1929.8000000000002</v>
      </c>
      <c r="D6" s="13">
        <f>SUMIF(Raw_Data!$A$5:$A$196,$A6,Raw_Data!$F$5:$F$196)</f>
        <v>393.79999999999995</v>
      </c>
      <c r="E6" s="13">
        <f>SUMIF(Raw_Data!$A$5:$A$196,$A6,Raw_Data!$G$5:$G$196)</f>
        <v>579.80000000000007</v>
      </c>
      <c r="F6" s="13">
        <f>SUMIF(Raw_Data!$A$5:$A$196,$A6,Raw_Data!$H$5:$H$196)</f>
        <v>221.00000000000003</v>
      </c>
      <c r="G6" s="13">
        <f>SUMIF(Raw_Data!$A$5:$A$196,$A6,Raw_Data!$I$5:$I$196)</f>
        <v>2178.3000000000002</v>
      </c>
      <c r="H6" s="13">
        <f>SUMIF(Raw_Data!$A$5:$A$196,$A6,Raw_Data!$J$5:$J$196)</f>
        <v>983.49999999999989</v>
      </c>
      <c r="I6" s="13">
        <f t="shared" si="0"/>
        <v>3124.4000000000005</v>
      </c>
      <c r="J6" s="13">
        <f>SUMIF(Raw_Data!$A$5:$A$196,$A6,Raw_Data!$M$5:$M$196)</f>
        <v>4172.8</v>
      </c>
      <c r="L6" s="15">
        <f t="shared" ref="L6:L16" si="4">(B6-B5)/B5</f>
        <v>4.1159772911597406E-2</v>
      </c>
      <c r="M6" s="15">
        <f t="shared" si="1"/>
        <v>0.53025803310613451</v>
      </c>
      <c r="N6" s="15">
        <f t="shared" si="2"/>
        <v>0.23941090555014607</v>
      </c>
      <c r="O6" s="15">
        <f t="shared" si="3"/>
        <v>0.76056475170399251</v>
      </c>
    </row>
    <row r="7" spans="1:15" ht="15" customHeight="1" x14ac:dyDescent="0.35">
      <c r="A7" s="12" t="s">
        <v>50</v>
      </c>
      <c r="B7" s="13">
        <f>SUMIF(Raw_Data!$A$5:$A$196,$A7,Raw_Data!$D$5:$D$196)</f>
        <v>4803.9999999999991</v>
      </c>
      <c r="C7" s="13">
        <f>SUMIF(Raw_Data!$A$5:$A$196,$A7,Raw_Data!$E$5:$E$196)</f>
        <v>2240.7999999999997</v>
      </c>
      <c r="D7" s="13">
        <f>SUMIF(Raw_Data!$A$5:$A$196,$A7,Raw_Data!$F$5:$F$196)</f>
        <v>477.30000000000007</v>
      </c>
      <c r="E7" s="13">
        <f>SUMIF(Raw_Data!$A$5:$A$196,$A7,Raw_Data!$G$5:$G$196)</f>
        <v>678.49999999999989</v>
      </c>
      <c r="F7" s="13">
        <f>SUMIF(Raw_Data!$A$5:$A$196,$A7,Raw_Data!$H$5:$H$196)</f>
        <v>259.3</v>
      </c>
      <c r="G7" s="13">
        <f>SUMIF(Raw_Data!$A$5:$A$196,$A7,Raw_Data!$I$5:$I$196)</f>
        <v>2563.2000000000003</v>
      </c>
      <c r="H7" s="13">
        <f>SUMIF(Raw_Data!$A$5:$A$196,$A7,Raw_Data!$J$5:$J$196)</f>
        <v>1148.1000000000001</v>
      </c>
      <c r="I7" s="13">
        <f t="shared" si="0"/>
        <v>3655.9</v>
      </c>
      <c r="J7" s="13">
        <f>SUMIF(Raw_Data!$A$5:$A$196,$A7,Raw_Data!$M$5:$M$196)</f>
        <v>4826.2</v>
      </c>
      <c r="L7" s="15">
        <f t="shared" si="4"/>
        <v>0.16942551119766314</v>
      </c>
      <c r="M7" s="15">
        <f t="shared" si="1"/>
        <v>0.53355537052456303</v>
      </c>
      <c r="N7" s="15">
        <f t="shared" si="2"/>
        <v>0.23898834304746053</v>
      </c>
      <c r="O7" s="15">
        <f t="shared" si="3"/>
        <v>0.76101165695253969</v>
      </c>
    </row>
    <row r="8" spans="1:15" ht="15" customHeight="1" x14ac:dyDescent="0.35">
      <c r="A8" s="12" t="s">
        <v>51</v>
      </c>
      <c r="B8" s="13">
        <f>SUMIF(Raw_Data!$A$5:$A$196,$A8,Raw_Data!$D$5:$D$196)</f>
        <v>5126.9000000000015</v>
      </c>
      <c r="C8" s="13">
        <f>SUMIF(Raw_Data!$A$5:$A$196,$A8,Raw_Data!$E$5:$E$196)</f>
        <v>2338.6</v>
      </c>
      <c r="D8" s="13">
        <f>SUMIF(Raw_Data!$A$5:$A$196,$A8,Raw_Data!$F$5:$F$196)</f>
        <v>487.8</v>
      </c>
      <c r="E8" s="13">
        <f>SUMIF(Raw_Data!$A$5:$A$196,$A8,Raw_Data!$G$5:$G$196)</f>
        <v>718.6</v>
      </c>
      <c r="F8" s="13">
        <f>SUMIF(Raw_Data!$A$5:$A$196,$A8,Raw_Data!$H$5:$H$196)</f>
        <v>271.89999999999998</v>
      </c>
      <c r="G8" s="13">
        <f>SUMIF(Raw_Data!$A$5:$A$196,$A8,Raw_Data!$I$5:$I$196)</f>
        <v>2788.6000000000004</v>
      </c>
      <c r="H8" s="13">
        <f>SUMIF(Raw_Data!$A$5:$A$196,$A8,Raw_Data!$J$5:$J$196)</f>
        <v>1309.8999999999999</v>
      </c>
      <c r="I8" s="13">
        <f t="shared" si="0"/>
        <v>3816.9</v>
      </c>
      <c r="J8" s="13">
        <f>SUMIF(Raw_Data!$A$5:$A$196,$A8,Raw_Data!$M$5:$M$196)</f>
        <v>5166.3999999999996</v>
      </c>
      <c r="L8" s="15">
        <f t="shared" si="4"/>
        <v>6.7214820982515078E-2</v>
      </c>
      <c r="M8" s="15">
        <f t="shared" si="1"/>
        <v>0.54391542647603808</v>
      </c>
      <c r="N8" s="15">
        <f t="shared" si="2"/>
        <v>0.25549552361075883</v>
      </c>
      <c r="O8" s="15">
        <f t="shared" si="3"/>
        <v>0.74448497142522752</v>
      </c>
    </row>
    <row r="9" spans="1:15" ht="15" customHeight="1" x14ac:dyDescent="0.35">
      <c r="A9" s="12" t="s">
        <v>52</v>
      </c>
      <c r="B9" s="13">
        <f>SUMIF(Raw_Data!$A$5:$A$196,$A9,Raw_Data!$D$5:$D$196)</f>
        <v>4425.8</v>
      </c>
      <c r="C9" s="13">
        <f>SUMIF(Raw_Data!$A$5:$A$196,$A9,Raw_Data!$E$5:$E$196)</f>
        <v>2090.1000000000004</v>
      </c>
      <c r="D9" s="13">
        <f>SUMIF(Raw_Data!$A$5:$A$196,$A9,Raw_Data!$F$5:$F$196)</f>
        <v>433.5</v>
      </c>
      <c r="E9" s="13">
        <f>SUMIF(Raw_Data!$A$5:$A$196,$A9,Raw_Data!$G$5:$G$196)</f>
        <v>617.80000000000007</v>
      </c>
      <c r="F9" s="13">
        <f>SUMIF(Raw_Data!$A$5:$A$196,$A9,Raw_Data!$H$5:$H$196)</f>
        <v>232.5</v>
      </c>
      <c r="G9" s="13">
        <f>SUMIF(Raw_Data!$A$5:$A$196,$A9,Raw_Data!$I$5:$I$196)</f>
        <v>2335.7000000000003</v>
      </c>
      <c r="H9" s="13">
        <f>SUMIF(Raw_Data!$A$5:$A$196,$A9,Raw_Data!$J$5:$J$196)</f>
        <v>1051.8</v>
      </c>
      <c r="I9" s="13">
        <f t="shared" si="0"/>
        <v>3373.9000000000005</v>
      </c>
      <c r="J9" s="13">
        <f>SUMIF(Raw_Data!$A$5:$A$196,$A9,Raw_Data!$M$5:$M$196)</f>
        <v>4585.8</v>
      </c>
      <c r="L9" s="15">
        <f t="shared" si="4"/>
        <v>-0.13674930269753674</v>
      </c>
      <c r="M9" s="15">
        <f t="shared" si="1"/>
        <v>0.52774639613177288</v>
      </c>
      <c r="N9" s="15">
        <f t="shared" si="2"/>
        <v>0.23765194992995614</v>
      </c>
      <c r="O9" s="15">
        <f t="shared" si="3"/>
        <v>0.76232545528492035</v>
      </c>
    </row>
    <row r="10" spans="1:15" ht="15" customHeight="1" x14ac:dyDescent="0.35">
      <c r="A10" s="12" t="s">
        <v>53</v>
      </c>
      <c r="B10" s="13">
        <f>SUMIF(Raw_Data!$A$5:$A$196,$A10,Raw_Data!$D$5:$D$196)</f>
        <v>4523.6000000000004</v>
      </c>
      <c r="C10" s="13">
        <f>SUMIF(Raw_Data!$A$5:$A$196,$A10,Raw_Data!$E$5:$E$196)</f>
        <v>2102.2999999999997</v>
      </c>
      <c r="D10" s="13">
        <f>SUMIF(Raw_Data!$A$5:$A$196,$A10,Raw_Data!$F$5:$F$196)</f>
        <v>437.09999999999997</v>
      </c>
      <c r="E10" s="13">
        <f>SUMIF(Raw_Data!$A$5:$A$196,$A10,Raw_Data!$G$5:$G$196)</f>
        <v>632.9</v>
      </c>
      <c r="F10" s="13">
        <f>SUMIF(Raw_Data!$A$5:$A$196,$A10,Raw_Data!$H$5:$H$196)</f>
        <v>241.39999999999998</v>
      </c>
      <c r="G10" s="13">
        <f>SUMIF(Raw_Data!$A$5:$A$196,$A10,Raw_Data!$I$5:$I$196)</f>
        <v>2421.1999999999998</v>
      </c>
      <c r="H10" s="13">
        <f>SUMIF(Raw_Data!$A$5:$A$196,$A10,Raw_Data!$J$5:$J$196)</f>
        <v>1110.3</v>
      </c>
      <c r="I10" s="13">
        <f t="shared" si="0"/>
        <v>3413.7</v>
      </c>
      <c r="J10" s="13">
        <f>SUMIF(Raw_Data!$A$5:$A$196,$A10,Raw_Data!$M$5:$M$196)</f>
        <v>4579.5</v>
      </c>
      <c r="L10" s="15">
        <f t="shared" si="4"/>
        <v>2.209769985087446E-2</v>
      </c>
      <c r="M10" s="15">
        <f t="shared" si="1"/>
        <v>0.53523742152268095</v>
      </c>
      <c r="N10" s="15">
        <f t="shared" si="2"/>
        <v>0.24544610487222562</v>
      </c>
      <c r="O10" s="15">
        <f t="shared" si="3"/>
        <v>0.7546423202758864</v>
      </c>
    </row>
    <row r="11" spans="1:15" ht="15" customHeight="1" x14ac:dyDescent="0.35">
      <c r="A11" s="12" t="s">
        <v>54</v>
      </c>
      <c r="B11" s="13">
        <f>SUMIF(Raw_Data!$A$5:$A$196,$A11,Raw_Data!$D$5:$D$196)</f>
        <v>4681.3</v>
      </c>
      <c r="C11" s="13">
        <f>SUMIF(Raw_Data!$A$5:$A$196,$A11,Raw_Data!$E$5:$E$196)</f>
        <v>2171.6</v>
      </c>
      <c r="D11" s="13">
        <f>SUMIF(Raw_Data!$A$5:$A$196,$A11,Raw_Data!$F$5:$F$196)</f>
        <v>465.49999999999989</v>
      </c>
      <c r="E11" s="13">
        <f>SUMIF(Raw_Data!$A$5:$A$196,$A11,Raw_Data!$G$5:$G$196)</f>
        <v>653.5</v>
      </c>
      <c r="F11" s="13">
        <f>SUMIF(Raw_Data!$A$5:$A$196,$A11,Raw_Data!$H$5:$H$196)</f>
        <v>249</v>
      </c>
      <c r="G11" s="13">
        <f>SUMIF(Raw_Data!$A$5:$A$196,$A11,Raw_Data!$I$5:$I$196)</f>
        <v>2509.6</v>
      </c>
      <c r="H11" s="13">
        <f>SUMIF(Raw_Data!$A$5:$A$196,$A11,Raw_Data!$J$5:$J$196)</f>
        <v>1141.2</v>
      </c>
      <c r="I11" s="13">
        <f t="shared" si="0"/>
        <v>3539.6</v>
      </c>
      <c r="J11" s="13">
        <f>SUMIF(Raw_Data!$A$5:$A$196,$A11,Raw_Data!$M$5:$M$196)</f>
        <v>4668.6000000000004</v>
      </c>
      <c r="L11" s="15">
        <f t="shared" si="4"/>
        <v>3.4861614643204482E-2</v>
      </c>
      <c r="M11" s="15">
        <f t="shared" si="1"/>
        <v>0.53609040223869431</v>
      </c>
      <c r="N11" s="15">
        <f t="shared" si="2"/>
        <v>0.24377843761348345</v>
      </c>
      <c r="O11" s="15">
        <f t="shared" si="3"/>
        <v>0.75611475444855059</v>
      </c>
    </row>
    <row r="12" spans="1:15" ht="15" customHeight="1" x14ac:dyDescent="0.35">
      <c r="A12" s="12" t="s">
        <v>55</v>
      </c>
      <c r="B12" s="13">
        <f>SUMIF(Raw_Data!$A$5:$A$196,$A12,Raw_Data!$D$5:$D$196)</f>
        <v>4778.8</v>
      </c>
      <c r="C12" s="13">
        <f>SUMIF(Raw_Data!$A$5:$A$196,$A12,Raw_Data!$E$5:$E$196)</f>
        <v>2234.2000000000003</v>
      </c>
      <c r="D12" s="13">
        <f>SUMIF(Raw_Data!$A$5:$A$196,$A12,Raw_Data!$F$5:$F$196)</f>
        <v>452.89999999999992</v>
      </c>
      <c r="E12" s="13">
        <f>SUMIF(Raw_Data!$A$5:$A$196,$A12,Raw_Data!$G$5:$G$196)</f>
        <v>672.9</v>
      </c>
      <c r="F12" s="13">
        <f>SUMIF(Raw_Data!$A$5:$A$196,$A12,Raw_Data!$H$5:$H$196)</f>
        <v>252.70000000000005</v>
      </c>
      <c r="G12" s="13">
        <f>SUMIF(Raw_Data!$A$5:$A$196,$A12,Raw_Data!$I$5:$I$196)</f>
        <v>2544.7000000000007</v>
      </c>
      <c r="H12" s="13">
        <f>SUMIF(Raw_Data!$A$5:$A$196,$A12,Raw_Data!$J$5:$J$196)</f>
        <v>1166.1000000000001</v>
      </c>
      <c r="I12" s="13">
        <f t="shared" si="0"/>
        <v>3612.7000000000007</v>
      </c>
      <c r="J12" s="13">
        <f>SUMIF(Raw_Data!$A$5:$A$196,$A12,Raw_Data!$M$5:$M$196)</f>
        <v>4931.8</v>
      </c>
      <c r="L12" s="15">
        <f t="shared" si="4"/>
        <v>2.0827547903360177E-2</v>
      </c>
      <c r="M12" s="15">
        <f t="shared" si="1"/>
        <v>0.53249769816690395</v>
      </c>
      <c r="N12" s="15">
        <f t="shared" si="2"/>
        <v>0.24401523394994562</v>
      </c>
      <c r="O12" s="15">
        <f t="shared" si="3"/>
        <v>0.75598476605005449</v>
      </c>
    </row>
    <row r="13" spans="1:15" ht="15" customHeight="1" x14ac:dyDescent="0.35">
      <c r="A13" s="12" t="s">
        <v>56</v>
      </c>
      <c r="B13" s="13">
        <f>SUMIF(Raw_Data!$A$5:$A$196,$A13,Raw_Data!$D$5:$D$196)</f>
        <v>5039.4000000000005</v>
      </c>
      <c r="C13" s="13">
        <f>SUMIF(Raw_Data!$A$5:$A$196,$A13,Raw_Data!$E$5:$E$196)</f>
        <v>2371</v>
      </c>
      <c r="D13" s="13">
        <f>SUMIF(Raw_Data!$A$5:$A$196,$A13,Raw_Data!$F$5:$F$196)</f>
        <v>495.4</v>
      </c>
      <c r="E13" s="13">
        <f>SUMIF(Raw_Data!$A$5:$A$196,$A13,Raw_Data!$G$5:$G$196)</f>
        <v>705.29999999999984</v>
      </c>
      <c r="F13" s="13">
        <f>SUMIF(Raw_Data!$A$5:$A$196,$A13,Raw_Data!$H$5:$H$196)</f>
        <v>269.5</v>
      </c>
      <c r="G13" s="13">
        <f>SUMIF(Raw_Data!$A$5:$A$196,$A13,Raw_Data!$I$5:$I$196)</f>
        <v>2668.4000000000005</v>
      </c>
      <c r="H13" s="13">
        <f>SUMIF(Raw_Data!$A$5:$A$196,$A13,Raw_Data!$J$5:$J$196)</f>
        <v>1198.2</v>
      </c>
      <c r="I13" s="13">
        <f t="shared" si="0"/>
        <v>3841.2</v>
      </c>
      <c r="J13" s="13">
        <f>SUMIF(Raw_Data!$A$5:$A$196,$A13,Raw_Data!$M$5:$M$196)</f>
        <v>5180.3999999999996</v>
      </c>
      <c r="L13" s="15">
        <f t="shared" si="4"/>
        <v>5.4532518623922395E-2</v>
      </c>
      <c r="M13" s="15">
        <f t="shared" si="1"/>
        <v>0.52950748104933132</v>
      </c>
      <c r="N13" s="15">
        <f t="shared" si="2"/>
        <v>0.23776640076199546</v>
      </c>
      <c r="O13" s="15">
        <f t="shared" si="3"/>
        <v>0.76223359923800438</v>
      </c>
    </row>
    <row r="14" spans="1:15" ht="15" customHeight="1" x14ac:dyDescent="0.35">
      <c r="A14" s="12" t="s">
        <v>57</v>
      </c>
      <c r="B14" s="13">
        <f>SUMIF(Raw_Data!$A$5:$A$196,$A14,Raw_Data!$D$5:$D$196)</f>
        <v>5100.7</v>
      </c>
      <c r="C14" s="13">
        <f>SUMIF(Raw_Data!$A$5:$A$196,$A14,Raw_Data!$E$5:$E$196)</f>
        <v>2371.5</v>
      </c>
      <c r="D14" s="13">
        <f>SUMIF(Raw_Data!$A$5:$A$196,$A14,Raw_Data!$F$5:$F$196)</f>
        <v>488.7999999999999</v>
      </c>
      <c r="E14" s="13">
        <f>SUMIF(Raw_Data!$A$5:$A$196,$A14,Raw_Data!$G$5:$G$196)</f>
        <v>718</v>
      </c>
      <c r="F14" s="13">
        <f>SUMIF(Raw_Data!$A$5:$A$196,$A14,Raw_Data!$H$5:$H$196)</f>
        <v>270.39999999999998</v>
      </c>
      <c r="G14" s="13">
        <f>SUMIF(Raw_Data!$A$5:$A$196,$A14,Raw_Data!$I$5:$I$196)</f>
        <v>2729.2</v>
      </c>
      <c r="H14" s="13">
        <f>SUMIF(Raw_Data!$A$5:$A$196,$A14,Raw_Data!$J$5:$J$196)</f>
        <v>1251.9000000000001</v>
      </c>
      <c r="I14" s="13">
        <f t="shared" si="0"/>
        <v>3848.7</v>
      </c>
      <c r="J14" s="13">
        <f>SUMIF(Raw_Data!$A$5:$A$196,$A14,Raw_Data!$M$5:$M$196)</f>
        <v>5346.4000000000015</v>
      </c>
      <c r="L14" s="15">
        <f t="shared" si="4"/>
        <v>1.216414652537986E-2</v>
      </c>
      <c r="M14" s="15">
        <f t="shared" si="1"/>
        <v>0.53506381477052167</v>
      </c>
      <c r="N14" s="15">
        <f t="shared" si="2"/>
        <v>0.24543690081753489</v>
      </c>
      <c r="O14" s="15">
        <f t="shared" si="3"/>
        <v>0.75454349403023113</v>
      </c>
    </row>
    <row r="15" spans="1:15" ht="15" customHeight="1" x14ac:dyDescent="0.35">
      <c r="A15" s="12" t="s">
        <v>58</v>
      </c>
      <c r="B15" s="13">
        <f>SUMIF(Raw_Data!$A$5:$A$196,$A15,Raw_Data!$D$5:$D$196)</f>
        <v>6091.7999999999993</v>
      </c>
      <c r="C15" s="13">
        <f>SUMIF(Raw_Data!$A$5:$A$196,$A15,Raw_Data!$E$5:$E$196)</f>
        <v>2862.5000000000005</v>
      </c>
      <c r="D15" s="13">
        <f>SUMIF(Raw_Data!$A$5:$A$196,$A15,Raw_Data!$F$5:$F$196)</f>
        <v>608.1</v>
      </c>
      <c r="E15" s="13">
        <f>SUMIF(Raw_Data!$A$5:$A$196,$A15,Raw_Data!$G$5:$G$196)</f>
        <v>854.7</v>
      </c>
      <c r="F15" s="13">
        <f>SUMIF(Raw_Data!$A$5:$A$196,$A15,Raw_Data!$H$5:$H$196)</f>
        <v>326.09999999999997</v>
      </c>
      <c r="G15" s="13">
        <f>SUMIF(Raw_Data!$A$5:$A$196,$A15,Raw_Data!$I$5:$I$196)</f>
        <v>3229.3</v>
      </c>
      <c r="H15" s="13">
        <f>SUMIF(Raw_Data!$A$5:$A$196,$A15,Raw_Data!$J$5:$J$196)</f>
        <v>1440.3999999999996</v>
      </c>
      <c r="I15" s="13">
        <f t="shared" si="0"/>
        <v>4651.4000000000005</v>
      </c>
      <c r="J15" s="13">
        <f>SUMIF(Raw_Data!$A$5:$A$196,$A15,Raw_Data!$M$5:$M$196)</f>
        <v>6147.4</v>
      </c>
      <c r="L15" s="15">
        <f t="shared" si="4"/>
        <v>0.19430666379124423</v>
      </c>
      <c r="M15" s="15">
        <f t="shared" si="1"/>
        <v>0.5301060441905513</v>
      </c>
      <c r="N15" s="15">
        <f t="shared" si="2"/>
        <v>0.23644899701237726</v>
      </c>
      <c r="O15" s="15">
        <f t="shared" si="3"/>
        <v>0.76355100298762291</v>
      </c>
    </row>
    <row r="16" spans="1:15" ht="15" customHeight="1" x14ac:dyDescent="0.35">
      <c r="A16" s="12" t="s">
        <v>59</v>
      </c>
      <c r="B16" s="13">
        <f>SUMIF(Raw_Data!$A$5:$A$196,$A16,Raw_Data!$D$5:$D$196)</f>
        <v>6560.8</v>
      </c>
      <c r="C16" s="13">
        <f>SUMIF(Raw_Data!$A$5:$A$196,$A16,Raw_Data!$E$5:$E$196)</f>
        <v>2992.1000000000004</v>
      </c>
      <c r="D16" s="13">
        <f>SUMIF(Raw_Data!$A$5:$A$196,$A16,Raw_Data!$F$5:$F$196)</f>
        <v>655.4</v>
      </c>
      <c r="E16" s="13">
        <f>SUMIF(Raw_Data!$A$5:$A$196,$A16,Raw_Data!$G$5:$G$196)</f>
        <v>916.39999999999986</v>
      </c>
      <c r="F16" s="13">
        <f>SUMIF(Raw_Data!$A$5:$A$196,$A16,Raw_Data!$H$5:$H$196)</f>
        <v>350.90000000000003</v>
      </c>
      <c r="G16" s="13">
        <f>SUMIF(Raw_Data!$A$5:$A$196,$A16,Raw_Data!$I$5:$I$196)</f>
        <v>3568.7</v>
      </c>
      <c r="H16" s="13">
        <f>SUMIF(Raw_Data!$A$5:$A$196,$A16,Raw_Data!$J$5:$J$196)</f>
        <v>1645.9999999999995</v>
      </c>
      <c r="I16" s="13">
        <f t="shared" si="0"/>
        <v>4914.8</v>
      </c>
      <c r="J16" s="13">
        <f>SUMIF(Raw_Data!$A$5:$A$196,$A16,Raw_Data!$M$5:$M$196)</f>
        <v>6642.3999999999987</v>
      </c>
      <c r="L16" s="15">
        <f t="shared" si="4"/>
        <v>7.6988738960570111E-2</v>
      </c>
      <c r="M16" s="15">
        <f t="shared" si="1"/>
        <v>0.54394281185221305</v>
      </c>
      <c r="N16" s="15">
        <f t="shared" si="2"/>
        <v>0.25088403853188629</v>
      </c>
      <c r="O16" s="15">
        <f t="shared" si="3"/>
        <v>0.74911596146811366</v>
      </c>
    </row>
    <row r="17" spans="1:10" ht="15" customHeight="1" x14ac:dyDescent="0.35">
      <c r="A17" s="16" t="s">
        <v>69</v>
      </c>
      <c r="B17" s="17">
        <f t="shared" ref="B17:J17" si="5">SUM(B5:B16)</f>
        <v>59186.7</v>
      </c>
      <c r="C17" s="17">
        <f t="shared" si="5"/>
        <v>27568.6</v>
      </c>
      <c r="D17" s="17">
        <f t="shared" si="5"/>
        <v>5773</v>
      </c>
      <c r="E17" s="17">
        <f t="shared" si="5"/>
        <v>8303</v>
      </c>
      <c r="F17" s="17">
        <f t="shared" si="5"/>
        <v>3151.0000000000005</v>
      </c>
      <c r="G17" s="17">
        <f t="shared" si="5"/>
        <v>31618.500000000004</v>
      </c>
      <c r="H17" s="17">
        <f t="shared" si="5"/>
        <v>14390.6</v>
      </c>
      <c r="I17" s="17">
        <f t="shared" si="5"/>
        <v>44795.600000000006</v>
      </c>
      <c r="J17" s="17">
        <f t="shared" si="5"/>
        <v>60297.30000000001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zoomScaleNormal="100" workbookViewId="0">
      <selection sqref="A1:J1"/>
    </sheetView>
  </sheetViews>
  <sheetFormatPr defaultColWidth="8.6328125" defaultRowHeight="14.5" x14ac:dyDescent="0.35"/>
  <cols>
    <col min="1" max="1" width="24" customWidth="1"/>
    <col min="2" max="2" width="12" customWidth="1"/>
    <col min="3" max="3" width="13" customWidth="1"/>
    <col min="4" max="6" width="12" customWidth="1"/>
    <col min="7" max="8" width="10" customWidth="1"/>
  </cols>
  <sheetData>
    <row r="1" spans="1:10" ht="25.5" customHeight="1" x14ac:dyDescent="0.5">
      <c r="A1" s="43" t="s">
        <v>70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5" customHeight="1" x14ac:dyDescent="0.35">
      <c r="A2" s="42" t="s">
        <v>71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15" customHeight="1" x14ac:dyDescent="0.35">
      <c r="A4" s="7" t="s">
        <v>15</v>
      </c>
      <c r="B4" s="7" t="s">
        <v>17</v>
      </c>
      <c r="C4" s="7" t="s">
        <v>22</v>
      </c>
      <c r="D4" s="7" t="s">
        <v>23</v>
      </c>
      <c r="E4" s="7" t="s">
        <v>65</v>
      </c>
      <c r="F4" s="7" t="s">
        <v>66</v>
      </c>
      <c r="G4" s="7" t="s">
        <v>72</v>
      </c>
      <c r="H4" s="7" t="s">
        <v>73</v>
      </c>
    </row>
    <row r="5" spans="1:10" ht="15" customHeight="1" x14ac:dyDescent="0.35">
      <c r="A5" s="12" t="s">
        <v>29</v>
      </c>
      <c r="B5" s="13">
        <f>SUMIF(Raw_Data!$B$5:$B$196,$A5,Raw_Data!$D$5:$D$196)</f>
        <v>12855.8</v>
      </c>
      <c r="C5" s="13">
        <f>SUMIF(Raw_Data!$B$5:$B$196,$A5,Raw_Data!$I$5:$I$196)</f>
        <v>7456.3</v>
      </c>
      <c r="D5" s="13">
        <f>SUMIF(Raw_Data!$B$5:$B$196,$A5,Raw_Data!$J$5:$J$196)</f>
        <v>3959.2</v>
      </c>
      <c r="E5" s="15">
        <f>C5/B5</f>
        <v>0.57999502170226669</v>
      </c>
      <c r="F5" s="15">
        <f>D5/B5</f>
        <v>0.30796994352743506</v>
      </c>
      <c r="G5" s="18">
        <f>AVERAGEIF(Raw_Data!$B$5:$B$196,$A5,Raw_Data!$K$5:$K$196)</f>
        <v>3.2414583333333322</v>
      </c>
      <c r="H5" s="18">
        <f>AVERAGEIF(Raw_Data!$B$5:$B$196,$A5,Raw_Data!$L$5:$L$196)</f>
        <v>4.1666666666666661</v>
      </c>
    </row>
    <row r="6" spans="1:10" ht="15" customHeight="1" x14ac:dyDescent="0.35">
      <c r="A6" s="12" t="s">
        <v>34</v>
      </c>
      <c r="B6" s="13">
        <f>SUMIF(Raw_Data!$B$5:$B$196,$A6,Raw_Data!$D$5:$D$196)</f>
        <v>20605.899999999994</v>
      </c>
      <c r="C6" s="13">
        <f>SUMIF(Raw_Data!$B$5:$B$196,$A6,Raw_Data!$I$5:$I$196)</f>
        <v>9208.6</v>
      </c>
      <c r="D6" s="13">
        <f>SUMIF(Raw_Data!$B$5:$B$196,$A6,Raw_Data!$J$5:$J$196)</f>
        <v>4229.7000000000007</v>
      </c>
      <c r="E6" s="15">
        <f>C6/B6</f>
        <v>0.44689142430080719</v>
      </c>
      <c r="F6" s="15">
        <f>D6/B6</f>
        <v>0.20526645281205877</v>
      </c>
      <c r="G6" s="18">
        <f>AVERAGEIF(Raw_Data!$B$5:$B$196,$A6,Raw_Data!$K$5:$K$196)</f>
        <v>2.452291666666667</v>
      </c>
      <c r="H6" s="18">
        <f>AVERAGEIF(Raw_Data!$B$5:$B$196,$A6,Raw_Data!$L$5:$L$196)</f>
        <v>5.5362499999999999</v>
      </c>
    </row>
    <row r="7" spans="1:10" ht="15" customHeight="1" x14ac:dyDescent="0.35">
      <c r="A7" s="12" t="s">
        <v>39</v>
      </c>
      <c r="B7" s="13">
        <f>SUMIF(Raw_Data!$B$5:$B$196,$A7,Raw_Data!$D$5:$D$196)</f>
        <v>16464.799999999992</v>
      </c>
      <c r="C7" s="13">
        <f>SUMIF(Raw_Data!$B$5:$B$196,$A7,Raw_Data!$I$5:$I$196)</f>
        <v>8495.9</v>
      </c>
      <c r="D7" s="13">
        <f>SUMIF(Raw_Data!$B$5:$B$196,$A7,Raw_Data!$J$5:$J$196)</f>
        <v>4022</v>
      </c>
      <c r="E7" s="15">
        <f>C7/B7</f>
        <v>0.51600383849181308</v>
      </c>
      <c r="F7" s="15">
        <f>D7/B7</f>
        <v>0.24427870365871446</v>
      </c>
      <c r="G7" s="18">
        <f>AVERAGEIF(Raw_Data!$B$5:$B$196,$A7,Raw_Data!$K$5:$K$196)</f>
        <v>4.0595833333333333</v>
      </c>
      <c r="H7" s="18">
        <f>AVERAGEIF(Raw_Data!$B$5:$B$196,$A7,Raw_Data!$L$5:$L$196)</f>
        <v>3.7672916666666674</v>
      </c>
    </row>
    <row r="8" spans="1:10" ht="15" customHeight="1" x14ac:dyDescent="0.35">
      <c r="A8" s="12" t="s">
        <v>44</v>
      </c>
      <c r="B8" s="13">
        <f>SUMIF(Raw_Data!$B$5:$B$196,$A8,Raw_Data!$D$5:$D$196)</f>
        <v>9260.2000000000007</v>
      </c>
      <c r="C8" s="13">
        <f>SUMIF(Raw_Data!$B$5:$B$196,$A8,Raw_Data!$I$5:$I$196)</f>
        <v>6457.7000000000007</v>
      </c>
      <c r="D8" s="13">
        <f>SUMIF(Raw_Data!$B$5:$B$196,$A8,Raw_Data!$J$5:$J$196)</f>
        <v>2179.6999999999994</v>
      </c>
      <c r="E8" s="15">
        <f>C8/B8</f>
        <v>0.69736074814798821</v>
      </c>
      <c r="F8" s="15">
        <f>D8/B8</f>
        <v>0.23538368501760212</v>
      </c>
      <c r="G8" s="18">
        <f>AVERAGEIF(Raw_Data!$B$5:$B$196,$A8,Raw_Data!$K$5:$K$196)</f>
        <v>5.4385416666666666</v>
      </c>
      <c r="H8" s="18">
        <f>AVERAGEIF(Raw_Data!$B$5:$B$196,$A8,Raw_Data!$L$5:$L$196)</f>
        <v>3.2566666666666655</v>
      </c>
    </row>
    <row r="9" spans="1:10" ht="15" customHeight="1" x14ac:dyDescent="0.35">
      <c r="A9" s="16" t="s">
        <v>74</v>
      </c>
      <c r="B9" s="17">
        <f>SUM(B5:B8)</f>
        <v>59186.699999999983</v>
      </c>
      <c r="C9" s="17">
        <f>SUM(C5:C8)</f>
        <v>31618.500000000004</v>
      </c>
      <c r="D9" s="17">
        <f>SUM(D5:D8)</f>
        <v>14390.6</v>
      </c>
      <c r="E9" s="19">
        <f>C9/B9</f>
        <v>0.53421630197324754</v>
      </c>
      <c r="F9" s="19">
        <f>D9/B9</f>
        <v>0.24313908361168987</v>
      </c>
      <c r="G9" s="20">
        <f>AVERAGE(G5:G8)</f>
        <v>3.7979687499999999</v>
      </c>
      <c r="H9" s="20">
        <f>AVERAGE(H5:H8)</f>
        <v>4.1817187499999999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opLeftCell="C1" zoomScaleNormal="100" workbookViewId="0">
      <selection activeCell="A3" sqref="A3"/>
    </sheetView>
  </sheetViews>
  <sheetFormatPr defaultColWidth="8.6328125" defaultRowHeight="14.5" x14ac:dyDescent="0.35"/>
  <cols>
    <col min="1" max="1" width="26" customWidth="1"/>
    <col min="2" max="2" width="15" customWidth="1"/>
    <col min="3" max="3" width="16" customWidth="1"/>
    <col min="4" max="4" width="14" customWidth="1"/>
  </cols>
  <sheetData>
    <row r="1" spans="1:6" ht="25.5" customHeight="1" x14ac:dyDescent="0.5">
      <c r="A1" s="43" t="s">
        <v>75</v>
      </c>
      <c r="B1" s="43"/>
      <c r="C1" s="43"/>
      <c r="D1" s="43"/>
      <c r="E1" s="43"/>
      <c r="F1" s="43"/>
    </row>
    <row r="2" spans="1:6" ht="15" customHeight="1" x14ac:dyDescent="0.35">
      <c r="A2" s="42" t="s">
        <v>107</v>
      </c>
      <c r="B2" s="42"/>
      <c r="C2" s="42"/>
      <c r="D2" s="42"/>
      <c r="E2" s="42"/>
      <c r="F2" s="42"/>
    </row>
    <row r="4" spans="1:6" ht="15" customHeight="1" x14ac:dyDescent="0.35">
      <c r="A4" s="7" t="s">
        <v>76</v>
      </c>
      <c r="B4" s="7" t="s">
        <v>77</v>
      </c>
      <c r="C4" s="7" t="s">
        <v>78</v>
      </c>
      <c r="D4" s="7" t="s">
        <v>79</v>
      </c>
    </row>
    <row r="5" spans="1:6" ht="15" customHeight="1" x14ac:dyDescent="0.35">
      <c r="A5" s="21" t="s">
        <v>18</v>
      </c>
      <c r="B5" s="13">
        <f>SUM(Raw_Data!$E$5:$E$196)</f>
        <v>27568.599999999995</v>
      </c>
      <c r="C5" s="15">
        <f>B5/$B$9</f>
        <v>0.61543097982837591</v>
      </c>
      <c r="D5" s="15">
        <f>B5/SUM(Raw_Data!$D$5:$D$196)</f>
        <v>0.46579045630183774</v>
      </c>
    </row>
    <row r="6" spans="1:6" ht="15" customHeight="1" x14ac:dyDescent="0.35">
      <c r="A6" s="21" t="s">
        <v>19</v>
      </c>
      <c r="B6" s="13">
        <f>SUM(Raw_Data!$F$5:$F$196)</f>
        <v>5773.0000000000009</v>
      </c>
      <c r="C6" s="15">
        <f>B6/$B$9</f>
        <v>0.12887426443668576</v>
      </c>
      <c r="D6" s="15">
        <f>B6/SUM(Raw_Data!$D$5:$D$196)</f>
        <v>9.7538805170756235E-2</v>
      </c>
    </row>
    <row r="7" spans="1:6" ht="15" customHeight="1" x14ac:dyDescent="0.35">
      <c r="A7" s="21" t="s">
        <v>20</v>
      </c>
      <c r="B7" s="13">
        <f>SUM(Raw_Data!$G$5:$G$196)</f>
        <v>8303.0000000000018</v>
      </c>
      <c r="C7" s="15">
        <f>B7/$B$9</f>
        <v>0.18535302574359985</v>
      </c>
      <c r="D7" s="15">
        <f>B7/SUM(Raw_Data!$D$5:$D$196)</f>
        <v>0.1402848950862271</v>
      </c>
    </row>
    <row r="8" spans="1:6" ht="15" customHeight="1" x14ac:dyDescent="0.35">
      <c r="A8" s="21" t="s">
        <v>21</v>
      </c>
      <c r="B8" s="13">
        <f>SUM(Raw_Data!$H$5:$H$196)</f>
        <v>3151.0000000000027</v>
      </c>
      <c r="C8" s="15">
        <f>B8/$B$9</f>
        <v>7.0341729991338503E-2</v>
      </c>
      <c r="D8" s="15">
        <f>B8/SUM(Raw_Data!$D$5:$D$196)</f>
        <v>5.323831198563192E-2</v>
      </c>
    </row>
    <row r="9" spans="1:6" ht="15" customHeight="1" x14ac:dyDescent="0.35">
      <c r="A9" s="16" t="s">
        <v>80</v>
      </c>
      <c r="B9" s="17">
        <f>SUM(B5:B8)</f>
        <v>44795.6</v>
      </c>
      <c r="C9" s="19">
        <f>SUM(C5:C8)</f>
        <v>1</v>
      </c>
      <c r="D9" s="19">
        <f>B9/SUM(Raw_Data!$D$5:$D$196)</f>
        <v>0.75685246854445298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A2" zoomScaleNormal="100" workbookViewId="0">
      <selection activeCell="F13" sqref="F13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5" customWidth="1"/>
    <col min="4" max="5" width="12" customWidth="1"/>
    <col min="6" max="6" width="14" customWidth="1"/>
  </cols>
  <sheetData>
    <row r="1" spans="1:7" ht="25.5" customHeight="1" x14ac:dyDescent="0.5">
      <c r="A1" s="43" t="s">
        <v>81</v>
      </c>
      <c r="B1" s="43"/>
      <c r="C1" s="43"/>
      <c r="D1" s="43"/>
      <c r="E1" s="43"/>
      <c r="F1" s="43"/>
      <c r="G1" s="43"/>
    </row>
    <row r="2" spans="1:7" ht="15" customHeight="1" x14ac:dyDescent="0.35">
      <c r="A2" s="42" t="s">
        <v>82</v>
      </c>
      <c r="B2" s="42"/>
      <c r="C2" s="42"/>
      <c r="D2" s="42"/>
      <c r="E2" s="42"/>
      <c r="F2" s="42"/>
      <c r="G2" s="42"/>
    </row>
    <row r="4" spans="1:7" ht="15" customHeight="1" x14ac:dyDescent="0.35">
      <c r="A4" s="7" t="s">
        <v>14</v>
      </c>
      <c r="B4" s="7" t="s">
        <v>26</v>
      </c>
      <c r="C4" s="7" t="s">
        <v>27</v>
      </c>
      <c r="D4" s="7" t="s">
        <v>83</v>
      </c>
      <c r="E4" s="7" t="s">
        <v>84</v>
      </c>
      <c r="F4" s="7" t="s">
        <v>85</v>
      </c>
    </row>
    <row r="5" spans="1:7" ht="15" customHeight="1" x14ac:dyDescent="0.35">
      <c r="A5" s="21" t="s">
        <v>28</v>
      </c>
      <c r="B5" s="13">
        <f>SUMIF(Raw_Data!$A$5:$A$196,$A5,Raw_Data!$M$5:$M$196)</f>
        <v>4049.6</v>
      </c>
      <c r="C5" s="13">
        <f>SUMIF(Raw_Data!$A$5:$A$196,$A5,Raw_Data!$N$5:$N$196)</f>
        <v>3056</v>
      </c>
      <c r="D5" s="22">
        <f t="shared" ref="D5:D16" si="0">B5-C5</f>
        <v>993.59999999999991</v>
      </c>
      <c r="E5" s="15">
        <f t="shared" ref="E5:E16" si="1">(B5-C5)/B5</f>
        <v>0.24535756617937574</v>
      </c>
      <c r="F5" s="14" t="str">
        <f t="shared" ref="F5:F17" si="2">IF(C5&lt;=B5,"Under Budget","Over Budget")</f>
        <v>Under Budget</v>
      </c>
    </row>
    <row r="6" spans="1:7" ht="15" customHeight="1" x14ac:dyDescent="0.35">
      <c r="A6" s="21" t="s">
        <v>49</v>
      </c>
      <c r="B6" s="13">
        <f>SUMIF(Raw_Data!$A$5:$A$196,$A6,Raw_Data!$M$5:$M$196)</f>
        <v>4172.8</v>
      </c>
      <c r="C6" s="13">
        <f>SUMIF(Raw_Data!$A$5:$A$196,$A6,Raw_Data!$N$5:$N$196)</f>
        <v>3177.7999999999997</v>
      </c>
      <c r="D6" s="22">
        <f t="shared" si="0"/>
        <v>995.00000000000045</v>
      </c>
      <c r="E6" s="15">
        <f t="shared" si="1"/>
        <v>0.23844900306748476</v>
      </c>
      <c r="F6" s="14" t="str">
        <f t="shared" si="2"/>
        <v>Under Budget</v>
      </c>
    </row>
    <row r="7" spans="1:7" ht="15" customHeight="1" x14ac:dyDescent="0.35">
      <c r="A7" s="21" t="s">
        <v>50</v>
      </c>
      <c r="B7" s="13">
        <f>SUMIF(Raw_Data!$A$5:$A$196,$A7,Raw_Data!$M$5:$M$196)</f>
        <v>4826.2</v>
      </c>
      <c r="C7" s="13">
        <f>SUMIF(Raw_Data!$A$5:$A$196,$A7,Raw_Data!$N$5:$N$196)</f>
        <v>3745.5999999999995</v>
      </c>
      <c r="D7" s="22">
        <f t="shared" si="0"/>
        <v>1080.6000000000004</v>
      </c>
      <c r="E7" s="15">
        <f t="shared" si="1"/>
        <v>0.22390286353652986</v>
      </c>
      <c r="F7" s="14" t="str">
        <f t="shared" si="2"/>
        <v>Under Budget</v>
      </c>
    </row>
    <row r="8" spans="1:7" ht="15" customHeight="1" x14ac:dyDescent="0.35">
      <c r="A8" s="21" t="s">
        <v>51</v>
      </c>
      <c r="B8" s="13">
        <f>SUMIF(Raw_Data!$A$5:$A$196,$A8,Raw_Data!$M$5:$M$196)</f>
        <v>5166.3999999999996</v>
      </c>
      <c r="C8" s="13">
        <f>SUMIF(Raw_Data!$A$5:$A$196,$A8,Raw_Data!$N$5:$N$196)</f>
        <v>3870.5000000000005</v>
      </c>
      <c r="D8" s="22">
        <f t="shared" si="0"/>
        <v>1295.8999999999992</v>
      </c>
      <c r="E8" s="15">
        <f t="shared" si="1"/>
        <v>0.25083230102198811</v>
      </c>
      <c r="F8" s="14" t="str">
        <f t="shared" si="2"/>
        <v>Under Budget</v>
      </c>
    </row>
    <row r="9" spans="1:7" ht="15" customHeight="1" x14ac:dyDescent="0.35">
      <c r="A9" s="21" t="s">
        <v>52</v>
      </c>
      <c r="B9" s="13">
        <f>SUMIF(Raw_Data!$A$5:$A$196,$A9,Raw_Data!$M$5:$M$196)</f>
        <v>4585.8</v>
      </c>
      <c r="C9" s="13">
        <f>SUMIF(Raw_Data!$A$5:$A$196,$A9,Raw_Data!$N$5:$N$196)</f>
        <v>3454.6999999999994</v>
      </c>
      <c r="D9" s="22">
        <f t="shared" si="0"/>
        <v>1131.1000000000008</v>
      </c>
      <c r="E9" s="15">
        <f t="shared" si="1"/>
        <v>0.24665271054123616</v>
      </c>
      <c r="F9" s="14" t="str">
        <f t="shared" si="2"/>
        <v>Under Budget</v>
      </c>
    </row>
    <row r="10" spans="1:7" ht="15" customHeight="1" x14ac:dyDescent="0.35">
      <c r="A10" s="21" t="s">
        <v>53</v>
      </c>
      <c r="B10" s="13">
        <f>SUMIF(Raw_Data!$A$5:$A$196,$A10,Raw_Data!$M$5:$M$196)</f>
        <v>4579.5</v>
      </c>
      <c r="C10" s="13">
        <f>SUMIF(Raw_Data!$A$5:$A$196,$A10,Raw_Data!$N$5:$N$196)</f>
        <v>3425.7000000000003</v>
      </c>
      <c r="D10" s="22">
        <f t="shared" si="0"/>
        <v>1153.7999999999997</v>
      </c>
      <c r="E10" s="15">
        <f t="shared" si="1"/>
        <v>0.25194890271863735</v>
      </c>
      <c r="F10" s="14" t="str">
        <f t="shared" si="2"/>
        <v>Under Budget</v>
      </c>
    </row>
    <row r="11" spans="1:7" ht="15" customHeight="1" x14ac:dyDescent="0.35">
      <c r="A11" s="21" t="s">
        <v>54</v>
      </c>
      <c r="B11" s="13">
        <f>SUMIF(Raw_Data!$A$5:$A$196,$A11,Raw_Data!$M$5:$M$196)</f>
        <v>4668.6000000000004</v>
      </c>
      <c r="C11" s="13">
        <f>SUMIF(Raw_Data!$A$5:$A$196,$A11,Raw_Data!$N$5:$N$196)</f>
        <v>3634.7999999999993</v>
      </c>
      <c r="D11" s="22">
        <f t="shared" si="0"/>
        <v>1033.8000000000011</v>
      </c>
      <c r="E11" s="15">
        <f t="shared" si="1"/>
        <v>0.22143683331191386</v>
      </c>
      <c r="F11" s="14" t="str">
        <f t="shared" si="2"/>
        <v>Under Budget</v>
      </c>
    </row>
    <row r="12" spans="1:7" ht="15" customHeight="1" x14ac:dyDescent="0.35">
      <c r="A12" s="21" t="s">
        <v>55</v>
      </c>
      <c r="B12" s="13">
        <f>SUMIF(Raw_Data!$A$5:$A$196,$A12,Raw_Data!$M$5:$M$196)</f>
        <v>4931.8</v>
      </c>
      <c r="C12" s="13">
        <f>SUMIF(Raw_Data!$A$5:$A$196,$A12,Raw_Data!$N$5:$N$196)</f>
        <v>3604.2</v>
      </c>
      <c r="D12" s="22">
        <f t="shared" si="0"/>
        <v>1327.6000000000004</v>
      </c>
      <c r="E12" s="15">
        <f t="shared" si="1"/>
        <v>0.2691917758222151</v>
      </c>
      <c r="F12" s="14" t="str">
        <f t="shared" si="2"/>
        <v>Under Budget</v>
      </c>
    </row>
    <row r="13" spans="1:7" ht="15" customHeight="1" x14ac:dyDescent="0.35">
      <c r="A13" s="21" t="s">
        <v>56</v>
      </c>
      <c r="B13" s="13">
        <f>SUMIF(Raw_Data!$A$5:$A$196,$A13,Raw_Data!$M$5:$M$196)</f>
        <v>5180.3999999999996</v>
      </c>
      <c r="C13" s="13">
        <f>SUMIF(Raw_Data!$A$5:$A$196,$A13,Raw_Data!$N$5:$N$196)</f>
        <v>3868.2000000000003</v>
      </c>
      <c r="D13" s="22">
        <f t="shared" si="0"/>
        <v>1312.1999999999994</v>
      </c>
      <c r="E13" s="15">
        <f t="shared" si="1"/>
        <v>0.25330090340514233</v>
      </c>
      <c r="F13" s="14" t="str">
        <f t="shared" si="2"/>
        <v>Under Budget</v>
      </c>
    </row>
    <row r="14" spans="1:7" ht="15" customHeight="1" x14ac:dyDescent="0.35">
      <c r="A14" s="21" t="s">
        <v>57</v>
      </c>
      <c r="B14" s="13">
        <f>SUMIF(Raw_Data!$A$5:$A$196,$A14,Raw_Data!$M$5:$M$196)</f>
        <v>5346.4000000000015</v>
      </c>
      <c r="C14" s="13">
        <f>SUMIF(Raw_Data!$A$5:$A$196,$A14,Raw_Data!$N$5:$N$196)</f>
        <v>3935.3</v>
      </c>
      <c r="D14" s="22">
        <f t="shared" si="0"/>
        <v>1411.1000000000013</v>
      </c>
      <c r="E14" s="15">
        <f t="shared" si="1"/>
        <v>0.26393461020499792</v>
      </c>
      <c r="F14" s="14" t="str">
        <f t="shared" si="2"/>
        <v>Under Budget</v>
      </c>
    </row>
    <row r="15" spans="1:7" ht="15" customHeight="1" x14ac:dyDescent="0.35">
      <c r="A15" s="21" t="s">
        <v>58</v>
      </c>
      <c r="B15" s="13">
        <f>SUMIF(Raw_Data!$A$5:$A$196,$A15,Raw_Data!$M$5:$M$196)</f>
        <v>6147.4</v>
      </c>
      <c r="C15" s="13">
        <f>SUMIF(Raw_Data!$A$5:$A$196,$A15,Raw_Data!$N$5:$N$196)</f>
        <v>4777.9000000000005</v>
      </c>
      <c r="D15" s="22">
        <f t="shared" si="0"/>
        <v>1369.4999999999991</v>
      </c>
      <c r="E15" s="15">
        <f t="shared" si="1"/>
        <v>0.22277710902170009</v>
      </c>
      <c r="F15" s="14" t="str">
        <f t="shared" si="2"/>
        <v>Under Budget</v>
      </c>
    </row>
    <row r="16" spans="1:7" ht="15" customHeight="1" x14ac:dyDescent="0.35">
      <c r="A16" s="21" t="s">
        <v>59</v>
      </c>
      <c r="B16" s="13">
        <f>SUMIF(Raw_Data!$A$5:$A$196,$A16,Raw_Data!$M$5:$M$196)</f>
        <v>6642.3999999999987</v>
      </c>
      <c r="C16" s="13">
        <f>SUMIF(Raw_Data!$A$5:$A$196,$A16,Raw_Data!$N$5:$N$196)</f>
        <v>5056.3999999999987</v>
      </c>
      <c r="D16" s="22">
        <f t="shared" si="0"/>
        <v>1586</v>
      </c>
      <c r="E16" s="15">
        <f t="shared" si="1"/>
        <v>0.23876911959532704</v>
      </c>
      <c r="F16" s="14" t="str">
        <f t="shared" si="2"/>
        <v>Under Budget</v>
      </c>
    </row>
    <row r="17" spans="1:6" ht="15" customHeight="1" x14ac:dyDescent="0.35">
      <c r="A17" s="16" t="s">
        <v>69</v>
      </c>
      <c r="B17" s="17">
        <f>SUM(B5:B16)</f>
        <v>60297.30000000001</v>
      </c>
      <c r="C17" s="17">
        <f>SUM(C5:C16)</f>
        <v>45607.100000000006</v>
      </c>
      <c r="D17" s="23">
        <f>SUM(D5:D16)</f>
        <v>14690.2</v>
      </c>
      <c r="E17" s="19">
        <f>D17/B17</f>
        <v>0.24362948258048037</v>
      </c>
      <c r="F17" s="16" t="str">
        <f t="shared" si="2"/>
        <v>Under Budget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opLeftCell="A7" zoomScaleNormal="100" workbookViewId="0">
      <selection activeCell="A2" sqref="A2:F2"/>
    </sheetView>
  </sheetViews>
  <sheetFormatPr defaultColWidth="8.6328125" defaultRowHeight="14.5" x14ac:dyDescent="0.35"/>
  <cols>
    <col min="1" max="1" width="8" customWidth="1"/>
    <col min="2" max="2" width="10" customWidth="1"/>
    <col min="3" max="4" width="12" customWidth="1"/>
    <col min="5" max="5" width="10" customWidth="1"/>
    <col min="7" max="7" width="12" customWidth="1"/>
    <col min="8" max="8" width="13" customWidth="1"/>
  </cols>
  <sheetData>
    <row r="1" spans="1:8" ht="25.5" customHeight="1" x14ac:dyDescent="0.5">
      <c r="A1" s="43" t="s">
        <v>86</v>
      </c>
      <c r="B1" s="43"/>
      <c r="C1" s="43"/>
      <c r="D1" s="43"/>
      <c r="E1" s="43"/>
      <c r="F1" s="43"/>
    </row>
    <row r="2" spans="1:8" ht="15" customHeight="1" x14ac:dyDescent="0.35">
      <c r="A2" s="42" t="s">
        <v>87</v>
      </c>
      <c r="B2" s="42"/>
      <c r="C2" s="42"/>
      <c r="D2" s="42"/>
      <c r="E2" s="42"/>
      <c r="F2" s="42"/>
    </row>
    <row r="4" spans="1:8" ht="15" customHeight="1" x14ac:dyDescent="0.35">
      <c r="A4" s="7" t="s">
        <v>88</v>
      </c>
      <c r="B4" s="7" t="s">
        <v>14</v>
      </c>
      <c r="C4" s="7" t="s">
        <v>17</v>
      </c>
      <c r="D4" s="7" t="s">
        <v>23</v>
      </c>
      <c r="E4" s="7" t="s">
        <v>89</v>
      </c>
      <c r="G4" s="24" t="s">
        <v>90</v>
      </c>
      <c r="H4" s="24" t="s">
        <v>91</v>
      </c>
    </row>
    <row r="5" spans="1:8" ht="15" customHeight="1" x14ac:dyDescent="0.35">
      <c r="A5" s="25">
        <v>1</v>
      </c>
      <c r="B5" s="14" t="s">
        <v>28</v>
      </c>
      <c r="C5" s="26">
        <f>Monthly_Summary!B5</f>
        <v>3945.6000000000004</v>
      </c>
      <c r="D5" s="26">
        <f>Monthly_Summary!H5</f>
        <v>943.19999999999993</v>
      </c>
      <c r="E5" s="25" t="s">
        <v>92</v>
      </c>
      <c r="G5" s="27">
        <f t="shared" ref="G5:G16" si="0">C5</f>
        <v>3945.6000000000004</v>
      </c>
      <c r="H5" s="27"/>
    </row>
    <row r="6" spans="1:8" ht="15" customHeight="1" x14ac:dyDescent="0.35">
      <c r="A6" s="25">
        <v>2</v>
      </c>
      <c r="B6" s="14" t="s">
        <v>49</v>
      </c>
      <c r="C6" s="26">
        <f>Monthly_Summary!B6</f>
        <v>4107.9999999999991</v>
      </c>
      <c r="D6" s="26">
        <f>Monthly_Summary!H6</f>
        <v>983.49999999999989</v>
      </c>
      <c r="E6" s="25" t="s">
        <v>92</v>
      </c>
      <c r="G6" s="27">
        <f t="shared" si="0"/>
        <v>4107.9999999999991</v>
      </c>
      <c r="H6" s="27"/>
    </row>
    <row r="7" spans="1:8" ht="15" customHeight="1" x14ac:dyDescent="0.35">
      <c r="A7" s="25">
        <v>3</v>
      </c>
      <c r="B7" s="14" t="s">
        <v>50</v>
      </c>
      <c r="C7" s="26">
        <f>Monthly_Summary!B7</f>
        <v>4803.9999999999991</v>
      </c>
      <c r="D7" s="26">
        <f>Monthly_Summary!H7</f>
        <v>1148.1000000000001</v>
      </c>
      <c r="E7" s="25" t="s">
        <v>92</v>
      </c>
      <c r="G7" s="27">
        <f t="shared" si="0"/>
        <v>4803.9999999999991</v>
      </c>
      <c r="H7" s="27"/>
    </row>
    <row r="8" spans="1:8" ht="15" customHeight="1" x14ac:dyDescent="0.35">
      <c r="A8" s="25">
        <v>4</v>
      </c>
      <c r="B8" s="14" t="s">
        <v>51</v>
      </c>
      <c r="C8" s="26">
        <f>Monthly_Summary!B8</f>
        <v>5126.9000000000015</v>
      </c>
      <c r="D8" s="26">
        <f>Monthly_Summary!H8</f>
        <v>1309.8999999999999</v>
      </c>
      <c r="E8" s="25" t="s">
        <v>92</v>
      </c>
      <c r="G8" s="27">
        <f t="shared" si="0"/>
        <v>5126.9000000000015</v>
      </c>
      <c r="H8" s="27"/>
    </row>
    <row r="9" spans="1:8" ht="15" customHeight="1" x14ac:dyDescent="0.35">
      <c r="A9" s="25">
        <v>5</v>
      </c>
      <c r="B9" s="14" t="s">
        <v>52</v>
      </c>
      <c r="C9" s="26">
        <f>Monthly_Summary!B9</f>
        <v>4425.8</v>
      </c>
      <c r="D9" s="26">
        <f>Monthly_Summary!H9</f>
        <v>1051.8</v>
      </c>
      <c r="E9" s="25" t="s">
        <v>92</v>
      </c>
      <c r="G9" s="27">
        <f t="shared" si="0"/>
        <v>4425.8</v>
      </c>
      <c r="H9" s="27"/>
    </row>
    <row r="10" spans="1:8" ht="15" customHeight="1" x14ac:dyDescent="0.35">
      <c r="A10" s="25">
        <v>6</v>
      </c>
      <c r="B10" s="14" t="s">
        <v>53</v>
      </c>
      <c r="C10" s="26">
        <f>Monthly_Summary!B10</f>
        <v>4523.6000000000004</v>
      </c>
      <c r="D10" s="26">
        <f>Monthly_Summary!H10</f>
        <v>1110.3</v>
      </c>
      <c r="E10" s="25" t="s">
        <v>92</v>
      </c>
      <c r="G10" s="27">
        <f t="shared" si="0"/>
        <v>4523.6000000000004</v>
      </c>
      <c r="H10" s="27"/>
    </row>
    <row r="11" spans="1:8" ht="15" customHeight="1" x14ac:dyDescent="0.35">
      <c r="A11" s="25">
        <v>7</v>
      </c>
      <c r="B11" s="14" t="s">
        <v>54</v>
      </c>
      <c r="C11" s="26">
        <f>Monthly_Summary!B11</f>
        <v>4681.3</v>
      </c>
      <c r="D11" s="26">
        <f>Monthly_Summary!H11</f>
        <v>1141.2</v>
      </c>
      <c r="E11" s="25" t="s">
        <v>92</v>
      </c>
      <c r="G11" s="27">
        <f t="shared" si="0"/>
        <v>4681.3</v>
      </c>
      <c r="H11" s="27"/>
    </row>
    <row r="12" spans="1:8" ht="15" customHeight="1" x14ac:dyDescent="0.35">
      <c r="A12" s="25">
        <v>8</v>
      </c>
      <c r="B12" s="14" t="s">
        <v>55</v>
      </c>
      <c r="C12" s="26">
        <f>Monthly_Summary!B12</f>
        <v>4778.8</v>
      </c>
      <c r="D12" s="26">
        <f>Monthly_Summary!H12</f>
        <v>1166.1000000000001</v>
      </c>
      <c r="E12" s="25" t="s">
        <v>92</v>
      </c>
      <c r="G12" s="27">
        <f t="shared" si="0"/>
        <v>4778.8</v>
      </c>
      <c r="H12" s="27"/>
    </row>
    <row r="13" spans="1:8" ht="15" customHeight="1" x14ac:dyDescent="0.35">
      <c r="A13" s="25">
        <v>9</v>
      </c>
      <c r="B13" s="14" t="s">
        <v>56</v>
      </c>
      <c r="C13" s="26">
        <f>Monthly_Summary!B13</f>
        <v>5039.4000000000005</v>
      </c>
      <c r="D13" s="26">
        <f>Monthly_Summary!H13</f>
        <v>1198.2</v>
      </c>
      <c r="E13" s="25" t="s">
        <v>92</v>
      </c>
      <c r="G13" s="27">
        <f t="shared" si="0"/>
        <v>5039.4000000000005</v>
      </c>
      <c r="H13" s="27"/>
    </row>
    <row r="14" spans="1:8" ht="15" customHeight="1" x14ac:dyDescent="0.35">
      <c r="A14" s="25">
        <v>10</v>
      </c>
      <c r="B14" s="14" t="s">
        <v>57</v>
      </c>
      <c r="C14" s="26">
        <f>Monthly_Summary!B14</f>
        <v>5100.7</v>
      </c>
      <c r="D14" s="26">
        <f>Monthly_Summary!H14</f>
        <v>1251.9000000000001</v>
      </c>
      <c r="E14" s="25" t="s">
        <v>92</v>
      </c>
      <c r="G14" s="27">
        <f t="shared" si="0"/>
        <v>5100.7</v>
      </c>
      <c r="H14" s="27"/>
    </row>
    <row r="15" spans="1:8" ht="15" customHeight="1" x14ac:dyDescent="0.35">
      <c r="A15" s="25">
        <v>11</v>
      </c>
      <c r="B15" s="14" t="s">
        <v>58</v>
      </c>
      <c r="C15" s="26">
        <f>Monthly_Summary!B15</f>
        <v>6091.7999999999993</v>
      </c>
      <c r="D15" s="26">
        <f>Monthly_Summary!H15</f>
        <v>1440.3999999999996</v>
      </c>
      <c r="E15" s="25" t="s">
        <v>92</v>
      </c>
      <c r="G15" s="27">
        <f t="shared" si="0"/>
        <v>6091.7999999999993</v>
      </c>
      <c r="H15" s="27"/>
    </row>
    <row r="16" spans="1:8" ht="15" customHeight="1" x14ac:dyDescent="0.35">
      <c r="A16" s="25">
        <v>12</v>
      </c>
      <c r="B16" s="14" t="s">
        <v>59</v>
      </c>
      <c r="C16" s="26">
        <f>Monthly_Summary!B16</f>
        <v>6560.8</v>
      </c>
      <c r="D16" s="26">
        <f>Monthly_Summary!H16</f>
        <v>1645.9999999999995</v>
      </c>
      <c r="E16" s="25" t="s">
        <v>92</v>
      </c>
      <c r="G16" s="27">
        <f t="shared" si="0"/>
        <v>6560.8</v>
      </c>
      <c r="H16" s="27">
        <f>C16</f>
        <v>6560.8</v>
      </c>
    </row>
    <row r="17" spans="1:8" ht="15" customHeight="1" x14ac:dyDescent="0.35">
      <c r="A17" s="28">
        <v>13</v>
      </c>
      <c r="B17" s="29" t="s">
        <v>93</v>
      </c>
      <c r="C17" s="30">
        <f>TREND($C$5:$C$16,$A$5:$A$16,A17)</f>
        <v>6056.7136363636364</v>
      </c>
      <c r="D17" s="30">
        <f>TREND($D$5:$D$16,$A$5:$A$16,A17)</f>
        <v>1480.689393939394</v>
      </c>
      <c r="E17" s="28" t="s">
        <v>94</v>
      </c>
      <c r="G17" s="27"/>
      <c r="H17" s="27">
        <f>C17</f>
        <v>6056.7136363636364</v>
      </c>
    </row>
    <row r="18" spans="1:8" ht="15" customHeight="1" x14ac:dyDescent="0.35">
      <c r="A18" s="28">
        <v>14</v>
      </c>
      <c r="B18" s="29" t="s">
        <v>95</v>
      </c>
      <c r="C18" s="30">
        <f>TREND($C$5:$C$16,$A$5:$A$16,A18)</f>
        <v>6229.7118881118877</v>
      </c>
      <c r="D18" s="30">
        <f>TREND($D$5:$D$16,$A$5:$A$16,A18)</f>
        <v>1523.9928904428903</v>
      </c>
      <c r="E18" s="28" t="s">
        <v>94</v>
      </c>
      <c r="G18" s="27"/>
      <c r="H18" s="27">
        <f>C18</f>
        <v>6229.7118881118877</v>
      </c>
    </row>
    <row r="19" spans="1:8" ht="15" customHeight="1" x14ac:dyDescent="0.35">
      <c r="A19" s="28">
        <v>15</v>
      </c>
      <c r="B19" s="29" t="s">
        <v>96</v>
      </c>
      <c r="C19" s="30">
        <f>TREND($C$5:$C$16,$A$5:$A$16,A19)</f>
        <v>6402.710139860139</v>
      </c>
      <c r="D19" s="30">
        <f>TREND($D$5:$D$16,$A$5:$A$16,A19)</f>
        <v>1567.296386946387</v>
      </c>
      <c r="E19" s="28" t="s">
        <v>94</v>
      </c>
      <c r="G19" s="27"/>
      <c r="H19" s="27">
        <f>C19</f>
        <v>6402.710139860139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zoomScaleNormal="100" workbookViewId="0">
      <selection sqref="A1:D1"/>
    </sheetView>
  </sheetViews>
  <sheetFormatPr defaultColWidth="8.6328125" defaultRowHeight="14.5" x14ac:dyDescent="0.35"/>
  <cols>
    <col min="1" max="1" width="30" customWidth="1"/>
    <col min="2" max="2" width="18" customWidth="1"/>
  </cols>
  <sheetData>
    <row r="1" spans="1:4" ht="25.5" customHeight="1" x14ac:dyDescent="0.5">
      <c r="A1" s="43" t="s">
        <v>97</v>
      </c>
      <c r="B1" s="43"/>
      <c r="C1" s="43"/>
      <c r="D1" s="43"/>
    </row>
    <row r="2" spans="1:4" ht="15" customHeight="1" x14ac:dyDescent="0.35">
      <c r="A2" s="42" t="s">
        <v>98</v>
      </c>
      <c r="B2" s="42"/>
      <c r="C2" s="42"/>
      <c r="D2" s="42"/>
    </row>
    <row r="4" spans="1:4" ht="15" customHeight="1" x14ac:dyDescent="0.35">
      <c r="A4" s="7" t="s">
        <v>99</v>
      </c>
      <c r="B4" s="7" t="s">
        <v>100</v>
      </c>
    </row>
    <row r="5" spans="1:4" ht="15" customHeight="1" x14ac:dyDescent="0.35">
      <c r="A5" s="12" t="s">
        <v>108</v>
      </c>
      <c r="B5" s="31">
        <f>Monthly_Summary!B17</f>
        <v>59186.7</v>
      </c>
    </row>
    <row r="6" spans="1:4" ht="15" customHeight="1" x14ac:dyDescent="0.35">
      <c r="A6" s="12" t="s">
        <v>109</v>
      </c>
      <c r="B6" s="31">
        <f>Monthly_Summary!G17</f>
        <v>31618.500000000004</v>
      </c>
    </row>
    <row r="7" spans="1:4" ht="15" customHeight="1" x14ac:dyDescent="0.35">
      <c r="A7" s="12" t="s">
        <v>110</v>
      </c>
      <c r="B7" s="31">
        <f>Monthly_Summary!H17</f>
        <v>14390.6</v>
      </c>
    </row>
    <row r="8" spans="1:4" ht="15" customHeight="1" x14ac:dyDescent="0.35">
      <c r="A8" s="12" t="s">
        <v>101</v>
      </c>
      <c r="B8" s="32">
        <f>Monthly_Summary!G17/Monthly_Summary!B17</f>
        <v>0.53421630197324743</v>
      </c>
    </row>
    <row r="9" spans="1:4" ht="15" customHeight="1" x14ac:dyDescent="0.35">
      <c r="A9" s="12" t="s">
        <v>102</v>
      </c>
      <c r="B9" s="32">
        <f>Monthly_Summary!H17/Monthly_Summary!B17</f>
        <v>0.24313908361168982</v>
      </c>
    </row>
    <row r="10" spans="1:4" ht="15" customHeight="1" x14ac:dyDescent="0.35">
      <c r="A10" s="12" t="s">
        <v>103</v>
      </c>
      <c r="B10" s="32">
        <f>Monthly_Summary!I17/Monthly_Summary!B17</f>
        <v>0.75685246854445354</v>
      </c>
    </row>
    <row r="11" spans="1:4" ht="15" customHeight="1" x14ac:dyDescent="0.35">
      <c r="A11" s="12" t="s">
        <v>104</v>
      </c>
      <c r="B11" s="32">
        <f>(Monthly_Summary!B16-Monthly_Summary!B5)/Monthly_Summary!B5</f>
        <v>0.66281427412814264</v>
      </c>
    </row>
    <row r="12" spans="1:4" ht="15" customHeight="1" x14ac:dyDescent="0.35">
      <c r="A12" s="12" t="s">
        <v>111</v>
      </c>
      <c r="B12" s="33">
        <f>AVERAGE(Raw_Data!$K$5:$K$196)</f>
        <v>3.7979687500000026</v>
      </c>
    </row>
    <row r="13" spans="1:4" ht="15" customHeight="1" x14ac:dyDescent="0.35">
      <c r="A13" s="12" t="s">
        <v>105</v>
      </c>
      <c r="B13" s="33">
        <f>AVERAGE(Raw_Data!$L$5:$L$196)</f>
        <v>4.1817187500000044</v>
      </c>
    </row>
    <row r="14" spans="1:4" ht="15" customHeight="1" x14ac:dyDescent="0.35">
      <c r="A14" s="12" t="s">
        <v>112</v>
      </c>
      <c r="B14" s="31">
        <f>SUM(Raw_Data!$M$5:$M$196)</f>
        <v>60297.300000000017</v>
      </c>
    </row>
    <row r="15" spans="1:4" ht="15" customHeight="1" x14ac:dyDescent="0.35">
      <c r="A15" s="12" t="s">
        <v>113</v>
      </c>
      <c r="B15" s="31">
        <f>SUM(Raw_Data!$N$5:$N$196)</f>
        <v>45607.1</v>
      </c>
    </row>
    <row r="16" spans="1:4" ht="15" customHeight="1" x14ac:dyDescent="0.35">
      <c r="A16" s="12" t="s">
        <v>106</v>
      </c>
      <c r="B16" s="32">
        <f>SUM(Raw_Data!$N$5:$N$196)/SUM(Raw_Data!$M$5:$M$196)</f>
        <v>0.75637051741951933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Raw_Data</vt:lpstr>
      <vt:lpstr>Monthly_Summary</vt:lpstr>
      <vt:lpstr>Service_Summary</vt:lpstr>
      <vt:lpstr>Cost_Breakdown</vt:lpstr>
      <vt:lpstr>Budget_vs_Actual</vt:lpstr>
      <vt:lpstr>Forecast</vt:lpstr>
      <vt:lpstr>KPI_Metrics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YUDISTIRA PRATAMA</cp:lastModifiedBy>
  <cp:revision>2</cp:revision>
  <dcterms:created xsi:type="dcterms:W3CDTF">2026-05-28T14:50:45Z</dcterms:created>
  <dcterms:modified xsi:type="dcterms:W3CDTF">2026-05-29T01:12:41Z</dcterms:modified>
  <dc:language>en-US</dc:language>
</cp:coreProperties>
</file>